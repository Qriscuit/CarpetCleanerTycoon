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Assumptions" sheetId="2" state="visible" r:id="rId4"/>
    <sheet name="Shops" sheetId="3" state="visible" r:id="rId5"/>
    <sheet name="Items" sheetId="4" state="visible" r:id="rId6"/>
    <sheet name="Upgrades" sheetId="5" state="visible" r:id="rId7"/>
    <sheet name="Pacing" sheetId="6" state="visible" r:id="rId8"/>
    <sheet name="Starter Routes" sheetId="7" state="visible" r:id="rId9"/>
    <sheet name="Offline" sheetId="8" state="visible" r:id="rId10"/>
    <sheet name="Blueprints &amp; Parts" sheetId="9" state="visible" r:id="rId11"/>
    <sheet name="UI &amp; States" sheetId="10" state="visible" r:id="rId12"/>
    <sheet name="Checks" sheetId="11" state="visible" r:id="rId13"/>
  </sheets>
  <definedNames>
    <definedName function="false" hidden="false" localSheetId="1" name="_xlnm.Print_Titles" vbProcedure="false">Assumptions!$1:$5</definedName>
    <definedName function="false" hidden="false" localSheetId="8" name="_xlnm.Print_Titles" vbProcedure="false">'Blueprints &amp; Parts'!$1:$5</definedName>
    <definedName function="false" hidden="false" localSheetId="10" name="_xlnm.Print_Titles" vbProcedure="false">Checks!$1:$5</definedName>
    <definedName function="false" hidden="false" localSheetId="3" name="_xlnm.Print_Titles" vbProcedure="false">Items!$1:$5</definedName>
    <definedName function="false" hidden="false" localSheetId="7" name="_xlnm.Print_Titles" vbProcedure="false">Offline!$1:$5</definedName>
    <definedName function="false" hidden="false" localSheetId="5" name="_xlnm.Print_Titles" vbProcedure="false">Pacing!$1:$5</definedName>
    <definedName function="false" hidden="false" localSheetId="0" name="_xlnm.Print_Titles" vbProcedure="false">'Read Me'!$1:$5</definedName>
    <definedName function="false" hidden="false" localSheetId="2" name="_xlnm.Print_Titles" vbProcedure="false">Shops!$1:$5</definedName>
    <definedName function="false" hidden="true" localSheetId="2" name="_xlnm._FilterDatabase" vbProcedure="false">Shops!$A$5:$S$10</definedName>
    <definedName function="false" hidden="false" localSheetId="6" name="_xlnm.Print_Titles" vbProcedure="false">'Starter Routes'!$1:$5</definedName>
    <definedName function="false" hidden="false" localSheetId="9" name="_xlnm.Print_Titles" vbProcedure="false">'UI &amp; States'!$1:$5</definedName>
    <definedName function="false" hidden="false" localSheetId="4" name="_xlnm.Print_Titles" vbProcedure="false">Upgrades!$1:$5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<sst xmlns="http://schemas.openxmlformats.org/spreadsheetml/2006/main" count="411" uniqueCount="361">
  <si>
    <t xml:space="preserve">BRUSH → BONZI → A GROWING CHAIN</t>
  </si>
  <si>
    <t xml:space="preserve">Economy v0.2 | 11 September 2026 | Blue = editable input • Green = formula • All timings are hypotheses, not observed playtests.</t>
  </si>
  <si>
    <t xml:space="preserve">Sheet / topic</t>
  </si>
  <si>
    <t xml:space="preserve">Purpose</t>
  </si>
  <si>
    <t xml:space="preserve">How to use</t>
  </si>
  <si>
    <t xml:space="preserve">Assumptions</t>
  </si>
  <si>
    <t xml:space="preserve">Shared economy and scenario inputs.</t>
  </si>
  <si>
    <t xml:space="preserve">Change these and blue Shops/Upgrades values. Formula caches are supplied for previews; Excel/LibreOffice recalculates edits.</t>
  </si>
  <si>
    <t xml:space="preserve">Shops</t>
  </si>
  <si>
    <t xml:space="preserve">Five locations: prices, job rewards, service capacities, local gates.</t>
  </si>
  <si>
    <t xml:space="preserve">Shops 1–2 are the slice. Shops 3–5 are placeholders. Zero finishing means the service is not required.</t>
  </si>
  <si>
    <t xml:space="preserve">Items</t>
  </si>
  <si>
    <t xml:space="preserve">Personal tools and blueprint/build ownership.</t>
  </si>
  <si>
    <t xml:space="preserve">Whole blueprints are permanent. Starter and opening kits have no hidden construction cost.</t>
  </si>
  <si>
    <t xml:space="preserve">Upgrades</t>
  </si>
  <si>
    <t xml:space="preserve">Optional local machine purchases with bottleneck-aware output and payback.</t>
  </si>
  <si>
    <t xml:space="preserve">Named before/after scenarios are linked sequentially. Payback is cash-only; parts/gates require extra effort.</t>
  </si>
  <si>
    <t xml:space="preserve">Pacing</t>
  </si>
  <si>
    <t xml:space="preserve">Sequential progression with cash carried across purchases.</t>
  </si>
  <si>
    <t xml:space="preserve">Average-rate model; active job rounding, local manual/auto gates. No optional purchases or offline cap in this sheet.</t>
  </si>
  <si>
    <t xml:space="preserve">Starter Routes</t>
  </si>
  <si>
    <t xml:space="preserve">Three explicit ways to reach High Street.</t>
  </si>
  <si>
    <t xml:space="preserve">Continuous active, 50% activity and minimum manual work followed by absence. Remainder cash retained.</t>
  </si>
  <si>
    <t xml:space="preserve">Offline</t>
  </si>
  <si>
    <t xml:space="preserve">Eight-hour cap, integer completed deliveries, owned/enabled branches.</t>
  </si>
  <si>
    <t xml:space="preserve">Change hours, ownership switches and fractional order progress. S1 enabled means Bonzi has been built.</t>
  </si>
  <si>
    <t xml:space="preserve">Blueprints &amp; Parts</t>
  </si>
  <si>
    <t xml:space="preserve">Guaranteed unlocks and optional crafting costs.</t>
  </si>
  <si>
    <t xml:space="preserve">No fragment currency, random drop requirement, parts from idle, or mandatory parts gate.</t>
  </si>
  <si>
    <t xml:space="preserve">UI &amp; States</t>
  </si>
  <si>
    <t xml:space="preserve">UI states and transitions for the coming implementation.</t>
  </si>
  <si>
    <t xml:space="preserve">Design only; no runtime/UI changes are included.</t>
  </si>
  <si>
    <t xml:space="preserve">Checks</t>
  </si>
  <si>
    <t xml:space="preserve">Formula checks and default-route simulation results.</t>
  </si>
  <si>
    <t xml:space="preserve">Formula checks update with workbook inputs. The discrete route check is a labeled default snapshot.</t>
  </si>
  <si>
    <t xml:space="preserve">Scope</t>
  </si>
  <si>
    <t xml:space="preserve">Old shops keep earning; first shop free; parts begin in S2.</t>
  </si>
  <si>
    <t xml:space="preserve">No energy, rent, gems, chests, prestige, monetization or operating expenses in this model.</t>
  </si>
  <si>
    <t xml:space="preserve">Model limits</t>
  </si>
  <si>
    <t xml:space="preserve">Continuous pacing approximates discrete automatic deliveries.</t>
  </si>
  <si>
    <t xml:space="preserve">Offline uses whole orders. Pacing assumes eligible certification is within the required manual count, immediate claims, base kit and constant average activity.</t>
  </si>
  <si>
    <t xml:space="preserve">Source of truth</t>
  </si>
  <si>
    <t xml:space="preserve">GDD v0.2 gives rules; workbook gives numeric inputs.</t>
  </si>
  <si>
    <t xml:space="preserve">Written examples match the initial defaults. If workbook inputs change, update written examples before implementation.</t>
  </si>
  <si>
    <t xml:space="preserve">THE TUNING DESK</t>
  </si>
  <si>
    <t xml:space="preserve">Input values apply to the proposed slice. No real-money values. Active fraction describes time spent completing manual jobs while production runs.</t>
  </si>
  <si>
    <t xml:space="preserve">Parameter</t>
  </si>
  <si>
    <t xml:space="preserve">Value</t>
  </si>
  <si>
    <t xml:space="preserve">Unit / meaning</t>
  </si>
  <si>
    <t xml:space="preserve">Status</t>
  </si>
  <si>
    <t xml:space="preserve">Starting cash</t>
  </si>
  <si>
    <t xml:space="preserve">cash; starter premises and brush already owned</t>
  </si>
  <si>
    <t xml:space="preserve">Proposed</t>
  </si>
  <si>
    <t xml:space="preserve">Bonzi build cost</t>
  </si>
  <si>
    <t xml:space="preserve">cash; includes first automated chassis</t>
  </si>
  <si>
    <t xml:space="preserve">Bonzi blueprint at job</t>
  </si>
  <si>
    <t xml:space="preserve">local S1 paid manual completions</t>
  </si>
  <si>
    <t xml:space="preserve">Offline cap</t>
  </si>
  <si>
    <t xml:space="preserve">hours per absence, not a live production cap</t>
  </si>
  <si>
    <t xml:space="preserve">Active fraction</t>
  </si>
  <si>
    <t xml:space="preserve">Pacing scenario; &gt;0 to 1. 0 is invalid because manual gates exist.</t>
  </si>
  <si>
    <t xml:space="preserve">Scenario</t>
  </si>
  <si>
    <t xml:space="preserve">Clump completion</t>
  </si>
  <si>
    <t xml:space="preserve">fraction cleared before Finish is allowed; not current toy rule</t>
  </si>
  <si>
    <t xml:space="preserve">Surface completion</t>
  </si>
  <si>
    <t xml:space="preserve">fraction of surface cleaned; must also pass clump check</t>
  </si>
  <si>
    <t xml:space="preserve">Parts per eligible manual</t>
  </si>
  <si>
    <t xml:space="preserve">integer; S2+ rewarded jobs only</t>
  </si>
  <si>
    <t xml:space="preserve">Wide Brush build cost</t>
  </si>
  <si>
    <t xml:space="preserve">cash; blueprint at eight S1 manual jobs</t>
  </si>
  <si>
    <t xml:space="preserve">Wide Brush work seconds</t>
  </si>
  <si>
    <t xml:space="preserve">seconds on the same S1 rug; handling stays unchanged</t>
  </si>
  <si>
    <t xml:space="preserve">Unmeasured target</t>
  </si>
  <si>
    <t xml:space="preserve">Slow activity scenario</t>
  </si>
  <si>
    <t xml:space="preserve">Starter Routes only; after Bonzi</t>
  </si>
  <si>
    <t xml:space="preserve">  </t>
  </si>
  <si>
    <t xml:space="preserve">Opening price includes the tools and local automated unit needed to operate. S1 automation is separately enabled by Bonzi. All rates below assume automation enabled.</t>
  </si>
  <si>
    <t xml:space="preserve">ID</t>
  </si>
  <si>
    <t xml:space="preserve">Shop</t>
  </si>
  <si>
    <t xml:space="preserve">Open cash</t>
  </si>
  <si>
    <t xml:space="preserve">Manual cash</t>
  </si>
  <si>
    <t xml:space="preserve">Work sec</t>
  </si>
  <si>
    <t xml:space="preserve">Handling sec</t>
  </si>
  <si>
    <t xml:space="preserve">Demand /h</t>
  </si>
  <si>
    <t xml:space="preserve">Cleaner /h</t>
  </si>
  <si>
    <t xml:space="preserve">Finish /h (0=N/A)</t>
  </si>
  <si>
    <t xml:space="preserve">Routine cash/order</t>
  </si>
  <si>
    <t xml:space="preserve">Prev-shop manual gate</t>
  </si>
  <si>
    <t xml:space="preserve">Prev-shop auto gate</t>
  </si>
  <si>
    <t xml:space="preserve">Identity / opening kit</t>
  </si>
  <si>
    <t xml:space="preserve">Cycle sec</t>
  </si>
  <si>
    <t xml:space="preserve">Auto orders/h</t>
  </si>
  <si>
    <t xml:space="preserve">Auto cash/h</t>
  </si>
  <si>
    <t xml:space="preserve">Manual cash/h</t>
  </si>
  <si>
    <t xml:space="preserve">Chain auto cash/h</t>
  </si>
  <si>
    <t xml:space="preserve">S1</t>
  </si>
  <si>
    <t xml:space="preserve">Neighborhood Shop</t>
  </si>
  <si>
    <t xml:space="preserve">Brush; mint/cream tiles</t>
  </si>
  <si>
    <t xml:space="preserve">Playable slice</t>
  </si>
  <si>
    <t xml:space="preserve">S2</t>
  </si>
  <si>
    <t xml:space="preserve">Busy High Street</t>
  </si>
  <si>
    <t xml:space="preserve">Jet + squeegee; coral storefront</t>
  </si>
  <si>
    <t xml:space="preserve">S3</t>
  </si>
  <si>
    <t xml:space="preserve">Restoration Studio</t>
  </si>
  <si>
    <t xml:space="preserve">Treatment + pile kit; indigo/timber</t>
  </si>
  <si>
    <t xml:space="preserve">Placeholder</t>
  </si>
  <si>
    <t xml:space="preserve">S4</t>
  </si>
  <si>
    <t xml:space="preserve">Commercial Workshop</t>
  </si>
  <si>
    <t xml:space="preserve">Broad tools; teal industrial bay</t>
  </si>
  <si>
    <t xml:space="preserve">S5</t>
  </si>
  <si>
    <t xml:space="preserve">Flagship Atelier</t>
  </si>
  <si>
    <t xml:space="preserve">Integrated rig; cream/gold atelier</t>
  </si>
  <si>
    <t xml:space="preserve">KNOW IT → BUILD IT → USE IT</t>
  </si>
  <si>
    <t xml:space="preserve">No duplicate personal tool builds. Opening kits are granted as part of the shop purchase; “included” never means a second bill. Later optional variant prices remain unset.</t>
  </si>
  <si>
    <t xml:space="preserve">Item</t>
  </si>
  <si>
    <t xml:space="preserve">Unlock / blueprint</t>
  </si>
  <si>
    <t xml:space="preserve">Build cash</t>
  </si>
  <si>
    <t xml:space="preserve">Parts</t>
  </si>
  <si>
    <t xml:space="preserve">Ownership</t>
  </si>
  <si>
    <t xml:space="preserve">Effect / boundary</t>
  </si>
  <si>
    <t xml:space="preserve">Hand Brush</t>
  </si>
  <si>
    <t xml:space="preserve">First launch</t>
  </si>
  <si>
    <t xml:space="preserve">Account personal tool</t>
  </si>
  <si>
    <t xml:space="preserve">Only cleaning tool in the starter economy. Existing prototype display tools stay prototype-only until wet service.</t>
  </si>
  <si>
    <t xml:space="preserve">Bonzi + basic chassis</t>
  </si>
  <si>
    <t xml:space="preserve">3 paid S1 manual jobs</t>
  </si>
  <si>
    <t xml:space="preserve">Named buddy + S1 unit</t>
  </si>
  <si>
    <t xml:space="preserve">30 orders/h capacity. A new unit is bundled with each later shop.</t>
  </si>
  <si>
    <t xml:space="preserve">Wide Brush</t>
  </si>
  <si>
    <t xml:space="preserve">8 paid S1 manual jobs</t>
  </si>
  <si>
    <t xml:space="preserve">S1 work target 50→40 seconds; no handling change. Optional.</t>
  </si>
  <si>
    <t xml:space="preserve">Jet + Hand Squeegee</t>
  </si>
  <si>
    <t xml:space="preserve">High Street opening</t>
  </si>
  <si>
    <t xml:space="preserve">Included</t>
  </si>
  <si>
    <t xml:space="preserve">Account personal tools</t>
  </si>
  <si>
    <t xml:space="preserve">Required wet-service capability. Recipe must function before S2 is playable.</t>
  </si>
  <si>
    <t xml:space="preserve">Restoration starter kit</t>
  </si>
  <si>
    <t xml:space="preserve">Restoration Studio opening</t>
  </si>
  <si>
    <t xml:space="preserve">Treatment and pile capability; exact tool interaction is later scope.</t>
  </si>
  <si>
    <t xml:space="preserve">Broad cleaning kit</t>
  </si>
  <si>
    <t xml:space="preserve">Commercial Workshop opening</t>
  </si>
  <si>
    <t xml:space="preserve">Wide work surface capability; later scope.</t>
  </si>
  <si>
    <t xml:space="preserve">Integrated Rig</t>
  </si>
  <si>
    <t xml:space="preserve">Flagship opening</t>
  </si>
  <si>
    <t xml:space="preserve">Capstone starter capability; later scope.</t>
  </si>
  <si>
    <t xml:space="preserve">Foam brush / rake / CRB / rotary variants</t>
  </si>
  <si>
    <t xml:space="preserve">Later authored milestones</t>
  </si>
  <si>
    <t xml:space="preserve">TBD</t>
  </si>
  <si>
    <t xml:space="preserve">Personal optional variants</t>
  </si>
  <si>
    <t xml:space="preserve">Do not price capabilities that are not yet designed. No random required unlocks.</t>
  </si>
  <si>
    <t xml:space="preserve">Local modules</t>
  </si>
  <si>
    <t xml:space="preserve">See Upgrades and Blueprints &amp; Parts</t>
  </si>
  <si>
    <t xml:space="preserve">See Upgrades</t>
  </si>
  <si>
    <t xml:space="preserve">Bound to purchased branch</t>
  </si>
  <si>
    <t xml:space="preserve">Incremental one-time named upgrades. No resale or infinite levels.</t>
  </si>
  <si>
    <t xml:space="preserve">SPEND ON THE ACTUAL BOTTLENECK</t>
  </si>
  <si>
    <t xml:space="preserve">Rows are named scenarios, not purchases to sum together. Sequential rows inherit the previous output settings. Payback ignores parts acquisition time. Zero gain is shown explicitly.</t>
  </si>
  <si>
    <t xml:space="preserve">Scenario / purchase</t>
  </si>
  <si>
    <t xml:space="preserve">Cash</t>
  </si>
  <si>
    <t xml:space="preserve">Before demand</t>
  </si>
  <si>
    <t xml:space="preserve">Before cleaner</t>
  </si>
  <si>
    <t xml:space="preserve">Before finish (0=N/A)</t>
  </si>
  <si>
    <t xml:space="preserve">After demand</t>
  </si>
  <si>
    <t xml:space="preserve">After cleaner</t>
  </si>
  <si>
    <t xml:space="preserve">After finish (0=N/A)</t>
  </si>
  <si>
    <t xml:space="preserve">Cash/order</t>
  </si>
  <si>
    <t xml:space="preserve">Before orders/h</t>
  </si>
  <si>
    <t xml:space="preserve">After orders/h</t>
  </si>
  <si>
    <t xml:space="preserve">Before cash/h</t>
  </si>
  <si>
    <t xml:space="preserve">After cash/h</t>
  </si>
  <si>
    <t xml:space="preserve">Gain cash/h</t>
  </si>
  <si>
    <t xml:space="preserve">Cash payback h</t>
  </si>
  <si>
    <t xml:space="preserve">Prerequisite / meaning</t>
  </si>
  <si>
    <t xml:space="preserve">S1 Mk II only</t>
  </si>
  <si>
    <t xml:space="preserve">Bonzi + 10 S1 manual jobs; demand becomes bottleneck</t>
  </si>
  <si>
    <t xml:space="preserve">S1 intake after Mk II</t>
  </si>
  <si>
    <t xml:space="preserve">Owned Mk II; cleaner becomes bottleneck</t>
  </si>
  <si>
    <t xml:space="preserve">S1 intake BEFORE Mk II</t>
  </si>
  <si>
    <t xml:space="preserve">Alternative order: no immediate income gain</t>
  </si>
  <si>
    <t xml:space="preserve">S2 cleaner module</t>
  </si>
  <si>
    <t xml:space="preserve">6 local manual jobs; finishing becomes bottleneck</t>
  </si>
  <si>
    <t xml:space="preserve">S2 finish after cleaner</t>
  </si>
  <si>
    <t xml:space="preserve">Owned cleaner module; demand becomes bottleneck</t>
  </si>
  <si>
    <t xml:space="preserve">S2 intake after both</t>
  </si>
  <si>
    <t xml:space="preserve">Owned cleaner + finish; cleaner becomes bottleneck</t>
  </si>
  <si>
    <t xml:space="preserve">Personal upgrade</t>
  </si>
  <si>
    <t xml:space="preserve">Base manual /h</t>
  </si>
  <si>
    <t xml:space="preserve">Upgraded manual /h</t>
  </si>
  <si>
    <t xml:space="preserve">Gain /h</t>
  </si>
  <si>
    <t xml:space="preserve">Active payback h</t>
  </si>
  <si>
    <t xml:space="preserve">HOW LONG UNTIL THE NEXT DOOR?</t>
  </si>
  <si>
    <t xml:space="preserve">Constant online activity scenario from Assumptions. Whole manual jobs, average bot income, base kits; no optional spending. Certification counts inside the local manual minimum. Later-shop outputs are placeholders.</t>
  </si>
  <si>
    <t xml:space="preserve">Milestone</t>
  </si>
  <si>
    <t xml:space="preserve">Cost</t>
  </si>
  <si>
    <t xml:space="preserve">Cash entering</t>
  </si>
  <si>
    <t xml:space="preserve">Manual cash/job</t>
  </si>
  <si>
    <t xml:space="preserve">Active share</t>
  </si>
  <si>
    <t xml:space="preserve">Prior-chain auto cash/h</t>
  </si>
  <si>
    <t xml:space="preserve">Manual cash still needed?</t>
  </si>
  <si>
    <t xml:space="preserve">Manual jobs gate left</t>
  </si>
  <si>
    <t xml:space="preserve">Auto deliveries gate</t>
  </si>
  <si>
    <t xml:space="preserve">Local auto orders/h</t>
  </si>
  <si>
    <t xml:space="preserve">Hours needed (continuous)</t>
  </si>
  <si>
    <t xml:space="preserve">Manual jobs done</t>
  </si>
  <si>
    <t xml:space="preserve">Elapsed h rounded</t>
  </si>
  <si>
    <t xml:space="preserve">Manual income</t>
  </si>
  <si>
    <t xml:space="preserve">Auto income</t>
  </si>
  <si>
    <t xml:space="preserve">Cash after purchase</t>
  </si>
  <si>
    <t xml:space="preserve">Total elapsed h</t>
  </si>
  <si>
    <t xml:space="preserve">Build Bonzi</t>
  </si>
  <si>
    <t xml:space="preserve">Open Busy High Street</t>
  </si>
  <si>
    <t xml:space="preserve">Open Restoration Studio</t>
  </si>
  <si>
    <t xml:space="preserve">Open Commercial Workshop</t>
  </si>
  <si>
    <t xml:space="preserve">Open Flagship Atelier</t>
  </si>
  <si>
    <t xml:space="preserve">THREE WAYS TO REACH HIGH STREET</t>
  </si>
  <si>
    <t xml:space="preserve">Routes start at launch, buy Bonzi first, skip optional upgrades. Guided return does only the required manual jobs and then waits. Continuous route estimates use average routine income.</t>
  </si>
  <si>
    <t xml:space="preserve">Route</t>
  </si>
  <si>
    <t xml:space="preserve">Active share after Bonzi</t>
  </si>
  <si>
    <t xml:space="preserve">Bonzi minute</t>
  </si>
  <si>
    <t xml:space="preserve">Post-Bonzi jobs</t>
  </si>
  <si>
    <t xml:space="preserve">Post-Bonzi active/online min</t>
  </si>
  <si>
    <t xml:space="preserve">Away min</t>
  </si>
  <si>
    <t xml:space="preserve">Total elapsed min</t>
  </si>
  <si>
    <t xml:space="preserve">Cash remaining</t>
  </si>
  <si>
    <t xml:space="preserve">Interpretation</t>
  </si>
  <si>
    <t xml:space="preserve">Keep cleaning</t>
  </si>
  <si>
    <t xml:space="preserve">29 jobs total; 12 bot deliveries after purchase at defaults.</t>
  </si>
  <si>
    <t xml:space="preserve">Half-time activity</t>
  </si>
  <si>
    <t xml:space="preserve">25 jobs total; slower manual activity, more routine income.</t>
  </si>
  <si>
    <t xml:space="preserve">Minimum work, then return</t>
  </si>
  <si>
    <t xml:space="preserve">15 jobs total. If away time exceeds cap, multiple return intervals are needed.</t>
  </si>
  <si>
    <t xml:space="preserve">WHAT HAPPENS WHILE YOU ARE AWAY</t>
  </si>
  <si>
    <t xml:space="preserve">Whole automatic orders pay; fractional order progress carries forward. Ownership switch means the branch already existed and its automation was enabled at departure. No upgrade/new shop is applied retrospectively.</t>
  </si>
  <si>
    <t xml:space="preserve">Owned + enabled (0/1)</t>
  </si>
  <si>
    <t xml:space="preserve">Away hours</t>
  </si>
  <si>
    <t xml:space="preserve">Credited hours</t>
  </si>
  <si>
    <t xml:space="preserve">Order remainder entering</t>
  </si>
  <si>
    <t xml:space="preserve">Completed orders</t>
  </si>
  <si>
    <t xml:space="preserve">Cash earned</t>
  </si>
  <si>
    <t xml:space="preserve">Order remainder leaving</t>
  </si>
  <si>
    <t xml:space="preserve">TOTAL CLAIM</t>
  </si>
  <si>
    <t xml:space="preserve">Cap behavior</t>
  </si>
  <si>
    <t xml:space="preserve">Cap truncates simulated absence time, not the wallet. New store clocks start on purchase. Negative elapsed time earns zero. Reopening cannot award a previously settled interval again.</t>
  </si>
  <si>
    <t xml:space="preserve">PERMANENT KNOWLEDGE, USEFUL PARTS</t>
  </si>
  <si>
    <t xml:space="preserve">No research fragments. All required blueprints and capabilities are guaranteed. Parts begin in High Street and are optional for expansion.</t>
  </si>
  <si>
    <t xml:space="preserve">Design / rule</t>
  </si>
  <si>
    <t xml:space="preserve">Unlock requirement</t>
  </si>
  <si>
    <t xml:space="preserve">Cash cost</t>
  </si>
  <si>
    <t xml:space="preserve">Parts cost</t>
  </si>
  <si>
    <t xml:space="preserve">Consumption / result</t>
  </si>
  <si>
    <t xml:space="preserve">Bonzi</t>
  </si>
  <si>
    <t xml:space="preserve">Whole blueprint permanent; cash builds companion + local unit.</t>
  </si>
  <si>
    <t xml:space="preserve">Whole blueprint permanent; optional personal build.</t>
  </si>
  <si>
    <t xml:space="preserve">S1 Mk II</t>
  </si>
  <si>
    <t xml:space="preserve">10 paid S1 manual jobs; Bonzi built</t>
  </si>
  <si>
    <t xml:space="preserve">Local module; first bot improvement teaches cash-only upgrades.</t>
  </si>
  <si>
    <t xml:space="preserve">S1 intake</t>
  </si>
  <si>
    <t xml:space="preserve">Local capacity upgrade; can be bought before Mk II but preview zero gain.</t>
  </si>
  <si>
    <t xml:space="preserve">S2 starter kit</t>
  </si>
  <si>
    <t xml:space="preserve">Buy S2</t>
  </si>
  <si>
    <t xml:space="preserve">Jet, squeegee, basic local unit and finishing station usable immediately.</t>
  </si>
  <si>
    <t xml:space="preserve">S2 cleaner</t>
  </si>
  <si>
    <t xml:space="preserve">6 paid S2 manual jobs</t>
  </si>
  <si>
    <t xml:space="preserve">Optional; subtract six parts on successful build only.</t>
  </si>
  <si>
    <t xml:space="preserve">S2 finishing</t>
  </si>
  <si>
    <t xml:space="preserve">Optional; may be bought before cleaner; Upgrades shows a suggested sequence.</t>
  </si>
  <si>
    <t xml:space="preserve">S2 intake</t>
  </si>
  <si>
    <t xml:space="preserve">Optional; no parts consumed.</t>
  </si>
  <si>
    <t xml:space="preserve">Parts source</t>
  </si>
  <si>
    <t xml:space="preserve">Each paid manual job in S2+</t>
  </si>
  <si>
    <t xml:space="preserve">N/A</t>
  </si>
  <si>
    <t xml:space="preserve">Integer award. No parts from idle, S1 or free replay.</t>
  </si>
  <si>
    <t xml:space="preserve">Duplicate blueprint</t>
  </si>
  <si>
    <t xml:space="preserve">Repeated milestone/load</t>
  </si>
  <si>
    <t xml:space="preserve">No-op; grant ID prevents duplication. No conversion currency.</t>
  </si>
  <si>
    <t xml:space="preserve">Later mandatory kits</t>
  </si>
  <si>
    <t xml:space="preserve">Respective shop purchase</t>
  </si>
  <si>
    <t xml:space="preserve">Necessary capability never depends on an optional module or random drop.</t>
  </si>
  <si>
    <t xml:space="preserve">Parts budget example</t>
  </si>
  <si>
    <t xml:space="preserve">Eligible S2+ jobs</t>
  </si>
  <si>
    <t xml:space="preserve">Parts earned</t>
  </si>
  <si>
    <t xml:space="preserve">Parts spent</t>
  </si>
  <si>
    <t xml:space="preserve">Parts remaining</t>
  </si>
  <si>
    <t xml:space="preserve">Build S2 cleaner</t>
  </si>
  <si>
    <t xml:space="preserve">Then finishing</t>
  </si>
  <si>
    <t xml:space="preserve">THE NEXT UI PASS</t>
  </si>
  <si>
    <t xml:space="preserve">This is a design specification, not an implemented game UI. Expose only the next meaningful decision.</t>
  </si>
  <si>
    <t xml:space="preserve">Surface / system</t>
  </si>
  <si>
    <t xml:space="preserve">States</t>
  </si>
  <si>
    <t xml:space="preserve">Action</t>
  </si>
  <si>
    <t xml:space="preserve">Guard / saved outcome</t>
  </si>
  <si>
    <t xml:space="preserve">Contract</t>
  </si>
  <si>
    <t xml:space="preserve">Offered → in progress → finish-ready → paid</t>
  </si>
  <si>
    <t xml:space="preserve">Start / resume / Finish</t>
  </si>
  <si>
    <t xml:space="preserve">Both cleaning thresholds required. Persist masks/job ID. One payout and local count per job.</t>
  </si>
  <si>
    <t xml:space="preserve">Bonzi card</t>
  </si>
  <si>
    <t xml:space="preserve">Hidden → blueprint known → affordable → built</t>
  </si>
  <si>
    <t xml:space="preserve">Blueprint and cash checked; debit once; start automation at purchase timestamp.</t>
  </si>
  <si>
    <t xml:space="preserve">Upgrade card</t>
  </si>
  <si>
    <t xml:space="preserve">Blueprint locked / known / affordable / owned</t>
  </si>
  <si>
    <t xml:space="preserve">Build or upgrade</t>
  </si>
  <si>
    <t xml:space="preserve">Show exact before/after gain and limiting station. Debit cash/parts atomically.</t>
  </si>
  <si>
    <t xml:space="preserve">Shop expansion</t>
  </si>
  <si>
    <t xml:space="preserve">Hidden → revealed → eligible → affordable → owned</t>
  </si>
  <si>
    <t xml:space="preserve">Open shop</t>
  </si>
  <si>
    <t xml:space="preserve">Local service counts and certification, Bonzi for S2, and cash. One summary includes kit and remaining cash.</t>
  </si>
  <si>
    <t xml:space="preserve">Owned-shop selector</t>
  </si>
  <si>
    <t xml:space="preserve">Current / owned inactive</t>
  </si>
  <si>
    <t xml:space="preserve">Visit shop</t>
  </si>
  <si>
    <t xml:space="preserve">Free view change. Keep old branches producing. Preserve one chain-wide active personal job.</t>
  </si>
  <si>
    <t xml:space="preserve">Active job during move</t>
  </si>
  <si>
    <t xml:space="preserve">In progress / paused</t>
  </si>
  <si>
    <t xml:space="preserve">Finish or explicitly pause</t>
  </si>
  <si>
    <t xml:space="preserve">No second manual job until resumed job completes or is abandoned. No abandonment reward/reroll.</t>
  </si>
  <si>
    <t xml:space="preserve">Return summary</t>
  </si>
  <si>
    <t xml:space="preserve">No earnings / claimable / capped</t>
  </si>
  <si>
    <t xml:space="preserve">Collect once</t>
  </si>
  <si>
    <t xml:space="preserve">Settle past interval once, preserving fractional orders. Offline is not extra income over online.</t>
  </si>
  <si>
    <t xml:space="preserve">Parts display</t>
  </si>
  <si>
    <t xml:space="preserve">Hidden until S2 / visible</t>
  </si>
  <si>
    <t xml:space="preserve">View module costs</t>
  </si>
  <si>
    <t xml:space="preserve">Only one parts type. No inventory cap, expiry, passive source or mandatory use.</t>
  </si>
  <si>
    <t xml:space="preserve">Purchase recovery</t>
  </si>
  <si>
    <t xml:space="preserve">Ready / saving / committed / failed</t>
  </si>
  <si>
    <t xml:space="preserve">Single transaction</t>
  </si>
  <si>
    <t xml:space="preserve">Validate again at commit; prevent negative wallet and repeat taps; no duplicate kit or charge after reload.</t>
  </si>
  <si>
    <t xml:space="preserve">Production</t>
  </si>
  <si>
    <t xml:space="preserve">Not enabled / demand limited / cleaner limited / finish limited</t>
  </si>
  <si>
    <t xml:space="preserve">Inspect bottleneck</t>
  </si>
  <si>
    <t xml:space="preserve">Separate manual and routine pools. Settle old rate before module or price changes.</t>
  </si>
  <si>
    <t xml:space="preserve">MODEL CHECKS &amp; PLAYTEST HANDOFF</t>
  </si>
  <si>
    <t xml:space="preserve">Formula checks update when inputs recalculate. Discrete simulation below is a default-only verification, not a dynamic workbook simulation. Test game save/reward behavior separately when implemented.</t>
  </si>
  <si>
    <t xml:space="preserve">Check</t>
  </si>
  <si>
    <t xml:space="preserve">Actual</t>
  </si>
  <si>
    <t xml:space="preserve">Expected / condition</t>
  </si>
  <si>
    <t xml:space="preserve">Result</t>
  </si>
  <si>
    <t xml:space="preserve">Starter premises have no price</t>
  </si>
  <si>
    <t xml:space="preserve">Bonzi first-route cash is nonnegative</t>
  </si>
  <si>
    <t xml:space="preserve">&gt;=0</t>
  </si>
  <si>
    <t xml:space="preserve">S2 route cash is nonnegative</t>
  </si>
  <si>
    <t xml:space="preserve">S1 intake-first output gain</t>
  </si>
  <si>
    <t xml:space="preserve">All modeled purchase wallets stay nonnegative</t>
  </si>
  <si>
    <t xml:space="preserve">No offline remainder outside [0,1)</t>
  </si>
  <si>
    <t xml:space="preserve">Guided return fits one offline interval</t>
  </si>
  <si>
    <t xml:space="preserve">Parts example never overspends</t>
  </si>
  <si>
    <t xml:space="preserve">Bonzi route meets blueprint gate</t>
  </si>
  <si>
    <t xml:space="preserve">Opening paid-job count is sufficient</t>
  </si>
  <si>
    <t xml:space="preserve">Default discrete event simulation</t>
  </si>
  <si>
    <t xml:space="preserve">Bonzi purchase minute</t>
  </si>
  <si>
    <t xml:space="preserve">100 cash after 5 full jobs</t>
  </si>
  <si>
    <t xml:space="preserve">PASS</t>
  </si>
  <si>
    <t xml:space="preserve">High Street opening minute</t>
  </si>
  <si>
    <t xml:space="preserve">29 jobs, 12 bot deliveries, 0 cash left</t>
  </si>
  <si>
    <t xml:space="preserve">Model sensitivity</t>
  </si>
  <si>
    <t xml:space="preserve">Change work sec 50→110</t>
  </si>
  <si>
    <t xml:space="preserve">Bonzi becomes 10 min; replay route, do not retain timing claims</t>
  </si>
  <si>
    <t xml:space="preserve">PLAYTEST</t>
  </si>
  <si>
    <t xml:space="preserve">Runtime tests needed</t>
  </si>
  <si>
    <t xml:space="preserve">Not implemented</t>
  </si>
  <si>
    <t xml:space="preserve">Repeat Finish, double-buy, resume, old-shop income, negative clock, offline cap</t>
  </si>
  <si>
    <t xml:space="preserve">TODO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</si>
</sst>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[RED]\(#,##0.0\);\–"/>
    <numFmt numFmtId="166" formatCode="0%"/>
    <numFmt numFmtId="167" formatCode="#,##0;[RED]\(#,##0\);\–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2"/>
      <charset val="1"/>
    </font>
    <font>
      <sz val="11"/>
      <color rgb="FF52666C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u val="single"/>
      <sz val="11"/>
      <color rgb="FF167E78"/>
      <name val="Calibri"/>
      <family val="2"/>
      <charset val="1"/>
    </font>
    <font>
      <sz val="11"/>
      <color rgb="FF203B43"/>
      <name val="Calibri"/>
      <family val="2"/>
      <charset val="1"/>
    </font>
    <font>
      <sz val="11"/>
      <color rgb="FF1868BB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03B43"/>
        <bgColor rgb="FF003366"/>
      </patternFill>
    </fill>
    <fill>
      <patternFill patternType="solid">
        <fgColor rgb="FF167E78"/>
        <bgColor rgb="FF339966"/>
      </patternFill>
    </fill>
    <fill>
      <patternFill patternType="solid">
        <fgColor rgb="FFFFFFFF"/>
        <bgColor rgb="FFEEF5FF"/>
      </patternFill>
    </fill>
    <fill>
      <patternFill patternType="solid">
        <fgColor rgb="FFEEF5FF"/>
        <bgColor rgb="FFEAF5F1"/>
      </patternFill>
    </fill>
    <fill>
      <patternFill patternType="solid">
        <fgColor rgb="FFEAF5F1"/>
        <bgColor rgb="FFEEF5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1E8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67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3B43"/>
          <bgColor rgb="FF000000"/>
        </patternFill>
      </fill>
    </dxf>
    <dxf>
      <fill>
        <patternFill patternType="solid">
          <fgColor rgb="FFEEF5FF"/>
          <bgColor rgb="FF000000"/>
        </patternFill>
      </fill>
    </dxf>
    <dxf>
      <fill>
        <patternFill patternType="solid">
          <fgColor rgb="FF1868BB"/>
          <bgColor rgb="FF000000"/>
        </patternFill>
      </fill>
    </dxf>
    <dxf>
      <fill>
        <patternFill patternType="solid">
          <fgColor rgb="FFEAF5F1"/>
          <bgColor rgb="FF000000"/>
        </patternFill>
      </fill>
    </dxf>
    <dxf>
      <font>
        <color rgb="FF874C11"/>
      </font>
      <fill>
        <patternFill>
          <bgColor rgb="FFFFE3C0"/>
        </patternFill>
      </fill>
    </dxf>
    <dxf>
      <font>
        <color rgb="FF205D45"/>
      </font>
      <fill>
        <patternFill>
          <bgColor rgb="FFCDED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7E78"/>
      <rgbColor rgb="FFC0C0C0"/>
      <rgbColor rgb="FF878787"/>
      <rgbColor rgb="FF9999FF"/>
      <rgbColor rgb="FF993366"/>
      <rgbColor rgb="FFEAF5F1"/>
      <rgbColor rgb="FFEEF5FF"/>
      <rgbColor rgb="FF660066"/>
      <rgbColor rgb="FFFF8080"/>
      <rgbColor rgb="FF1868BB"/>
      <rgbColor rgb="FFD9D9D9"/>
      <rgbColor rgb="FF000080"/>
      <rgbColor rgb="FFFF00FF"/>
      <rgbColor rgb="FFFFFF00"/>
      <rgbColor rgb="FF00FFFF"/>
      <rgbColor rgb="FF800080"/>
      <rgbColor rgb="FF800000"/>
      <rgbColor rgb="FF205D45"/>
      <rgbColor rgb="FF0000FF"/>
      <rgbColor rgb="FF00CCFF"/>
      <rgbColor rgb="FFE1E8E6"/>
      <rgbColor rgb="FFCDEDDD"/>
      <rgbColor rgb="FFFFFF99"/>
      <rgbColor rgb="FF99CCFF"/>
      <rgbColor rgb="FFFF99CC"/>
      <rgbColor rgb="FFCC99FF"/>
      <rgbColor rgb="FFFFE3C0"/>
      <rgbColor rgb="FF3366FF"/>
      <rgbColor rgb="FF33CCCC"/>
      <rgbColor rgb="FF99CC00"/>
      <rgbColor rgb="FFFFCC00"/>
      <rgbColor rgb="FFFF9900"/>
      <rgbColor rgb="FFFF6600"/>
      <rgbColor rgb="FF52666C"/>
      <rgbColor rgb="FF969696"/>
      <rgbColor rgb="FF003366"/>
      <rgbColor rgb="FF339966"/>
      <rgbColor rgb="FF003300"/>
      <rgbColor rgb="FF333300"/>
      <rgbColor rgb="FF874C11"/>
      <rgbColor rgb="FF993366"/>
      <rgbColor rgb="FF333399"/>
      <rgbColor rgb="FF203B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Later shops deliberately take longer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"Hours from previous milestone"</c:f>
              <c:strCache>
                <c:ptCount val="1"/>
                <c:pt idx="0">
                  <c:v>Hours from previous milestone</c:v>
                </c:pt>
              </c:strCache>
            </c:strRef>
          </c:tx>
          <c:spPr>
            <a:solidFill>
              <a:srgbClr val="167E78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Pacing!$A$6:$A$10</c:f>
              <c:strCache>
                <c:ptCount val="5"/>
                <c:pt idx="0">
                  <c:v>Build Bonzi</c:v>
                </c:pt>
                <c:pt idx="1">
                  <c:v>Open Busy High Street</c:v>
                </c:pt>
                <c:pt idx="2">
                  <c:v>Open Restoration Studio</c:v>
                </c:pt>
                <c:pt idx="3">
                  <c:v>Open Commercial Workshop</c:v>
                </c:pt>
                <c:pt idx="4">
                  <c:v>Open Flagship Atelier</c:v>
                </c:pt>
              </c:strCache>
            </c:strRef>
          </c:cat>
          <c:val>
            <c:numRef>
              <c:f>Pacing!$O$6:$O$10</c:f>
              <c:numCache>
                <c:formatCode>#,##0.0;[RED]\(#,##0.0\);\–</c:formatCode>
                <c:ptCount val="5"/>
                <c:pt idx="0">
                  <c:v>0.0833333333333333</c:v>
                </c:pt>
                <c:pt idx="1">
                  <c:v>0.4</c:v>
                </c:pt>
                <c:pt idx="2">
                  <c:v>1.45833333333333</c:v>
                </c:pt>
                <c:pt idx="3">
                  <c:v>5.31666666666667</c:v>
                </c:pt>
                <c:pt idx="4">
                  <c:v>11.3944444444444</c:v>
                </c:pt>
              </c:numCache>
            </c:numRef>
          </c:val>
        </c:ser>
        <c:gapWidth val="150"/>
        <c:overlap val="0"/>
        <c:axId val="46168170"/>
        <c:axId val="15465069"/>
      </c:barChart>
      <c:catAx>
        <c:axId val="461681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465069"/>
        <c:crosses val="autoZero"/>
        <c:auto val="1"/>
        <c:lblAlgn val="ctr"/>
        <c:lblOffset val="100"/>
        <c:noMultiLvlLbl val="0"/>
      </c:catAx>
      <c:valAx>
        <c:axId val="15465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Elapsed online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1681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7</xdr:col>
      <xdr:colOff>342720</xdr:colOff>
      <xdr:row>29</xdr:row>
      <xdr:rowOff>95040</xdr:rowOff>
    </xdr:to>
    <xdr:graphicFrame>
      <xdr:nvGraphicFramePr>
        <xdr:cNvPr id="1" name="Chart 1"/>
        <xdr:cNvGraphicFramePr/>
      </xdr:nvGraphicFramePr>
      <xdr:xfrm>
        <a:off x="0" y="5295960"/>
        <a:ext cx="8235720" cy="314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7.71"/>
    <col collapsed="false" customWidth="true" hidden="false" outlineLevel="0" max="2" min="2" style="0" width="66.71"/>
    <col collapsed="false" customWidth="true" hidden="false" outlineLevel="0" max="3" min="3" style="0" width="76.71"/>
  </cols>
  <sheetData>
    <row r="1" customFormat="false" ht="37.5" hidden="false" customHeight="true" outlineLevel="0" collapsed="false">
      <c r="A1" s="1" t="s">
        <v>0</v>
      </c>
      <c r="B1" s="1"/>
      <c r="C1" s="1"/>
    </row>
    <row r="2" customFormat="false" ht="24" hidden="false" customHeight="true" outlineLevel="0" collapsed="false">
      <c r="A2" s="2" t="s">
        <v>1</v>
      </c>
      <c r="B2" s="2"/>
      <c r="C2" s="2"/>
    </row>
    <row r="3" customFormat="false" ht="21.75" hidden="false" customHeight="true" outlineLevel="0" collapsed="false">
      <c r="A3" s="2"/>
      <c r="B3" s="2"/>
      <c r="C3" s="2"/>
    </row>
    <row r="5" customFormat="false" ht="33.75" hidden="false" customHeight="true" outlineLevel="0" collapsed="false">
      <c r="A5" s="3" t="s">
        <v>2</v>
      </c>
      <c r="B5" s="3" t="s">
        <v>3</v>
      </c>
      <c r="C5" s="3" t="s">
        <v>4</v>
      </c>
    </row>
    <row r="6" customFormat="false" ht="45.75" hidden="false" customHeight="true" outlineLevel="0" collapsed="false">
      <c r="A6" s="4" t="s">
        <v>5</v>
      </c>
      <c r="B6" s="5" t="s">
        <v>6</v>
      </c>
      <c r="C6" s="5" t="s">
        <v>7</v>
      </c>
    </row>
    <row r="7" customFormat="false" ht="45.75" hidden="false" customHeight="true" outlineLevel="0" collapsed="false">
      <c r="A7" s="4" t="s">
        <v>8</v>
      </c>
      <c r="B7" s="5" t="s">
        <v>9</v>
      </c>
      <c r="C7" s="5" t="s">
        <v>10</v>
      </c>
    </row>
    <row r="8" customFormat="false" ht="45.75" hidden="false" customHeight="true" outlineLevel="0" collapsed="false">
      <c r="A8" s="4" t="s">
        <v>11</v>
      </c>
      <c r="B8" s="5" t="s">
        <v>12</v>
      </c>
      <c r="C8" s="5" t="s">
        <v>13</v>
      </c>
    </row>
    <row r="9" customFormat="false" ht="45.75" hidden="false" customHeight="true" outlineLevel="0" collapsed="false">
      <c r="A9" s="4" t="s">
        <v>14</v>
      </c>
      <c r="B9" s="5" t="s">
        <v>15</v>
      </c>
      <c r="C9" s="5" t="s">
        <v>16</v>
      </c>
    </row>
    <row r="10" customFormat="false" ht="45.75" hidden="false" customHeight="true" outlineLevel="0" collapsed="false">
      <c r="A10" s="4" t="s">
        <v>17</v>
      </c>
      <c r="B10" s="5" t="s">
        <v>18</v>
      </c>
      <c r="C10" s="5" t="s">
        <v>19</v>
      </c>
    </row>
    <row r="11" customFormat="false" ht="45.75" hidden="false" customHeight="true" outlineLevel="0" collapsed="false">
      <c r="A11" s="4" t="s">
        <v>20</v>
      </c>
      <c r="B11" s="5" t="s">
        <v>21</v>
      </c>
      <c r="C11" s="5" t="s">
        <v>22</v>
      </c>
    </row>
    <row r="12" customFormat="false" ht="45.75" hidden="false" customHeight="true" outlineLevel="0" collapsed="false">
      <c r="A12" s="4" t="s">
        <v>23</v>
      </c>
      <c r="B12" s="5" t="s">
        <v>24</v>
      </c>
      <c r="C12" s="5" t="s">
        <v>25</v>
      </c>
    </row>
    <row r="13" customFormat="false" ht="45.75" hidden="false" customHeight="true" outlineLevel="0" collapsed="false">
      <c r="A13" s="4" t="s">
        <v>26</v>
      </c>
      <c r="B13" s="5" t="s">
        <v>27</v>
      </c>
      <c r="C13" s="5" t="s">
        <v>28</v>
      </c>
    </row>
    <row r="14" customFormat="false" ht="45.75" hidden="false" customHeight="true" outlineLevel="0" collapsed="false">
      <c r="A14" s="4" t="s">
        <v>29</v>
      </c>
      <c r="B14" s="5" t="s">
        <v>30</v>
      </c>
      <c r="C14" s="5" t="s">
        <v>31</v>
      </c>
    </row>
    <row r="15" customFormat="false" ht="45.75" hidden="false" customHeight="true" outlineLevel="0" collapsed="false">
      <c r="A15" s="4" t="s">
        <v>32</v>
      </c>
      <c r="B15" s="5" t="s">
        <v>33</v>
      </c>
      <c r="C15" s="5" t="s">
        <v>34</v>
      </c>
    </row>
    <row r="16" customFormat="false" ht="45.75" hidden="false" customHeight="true" outlineLevel="0" collapsed="false">
      <c r="A16" s="5" t="s">
        <v>35</v>
      </c>
      <c r="B16" s="5" t="s">
        <v>36</v>
      </c>
      <c r="C16" s="5" t="s">
        <v>37</v>
      </c>
    </row>
    <row r="17" customFormat="false" ht="45.75" hidden="false" customHeight="true" outlineLevel="0" collapsed="false">
      <c r="A17" s="5" t="s">
        <v>38</v>
      </c>
      <c r="B17" s="5" t="s">
        <v>39</v>
      </c>
      <c r="C17" s="5" t="s">
        <v>40</v>
      </c>
    </row>
    <row r="18" customFormat="false" ht="45.75" hidden="false" customHeight="true" outlineLevel="0" collapsed="false">
      <c r="A18" s="5" t="s">
        <v>41</v>
      </c>
      <c r="B18" s="5" t="s">
        <v>42</v>
      </c>
      <c r="C18" s="5" t="s">
        <v>43</v>
      </c>
    </row>
  </sheetData>
  <mergeCells count="2">
    <mergeCell ref="A1:C1"/>
    <mergeCell ref="A2:C3"/>
  </mergeCells>
  <hyperlinks>
    <hyperlink ref="A6" location="'Assumptions'!A1" display="Assumptions"/>
    <hyperlink ref="A7" location="'Shops'!A1" display="Shops"/>
    <hyperlink ref="A8" location="'Items'!A1" display="Items"/>
    <hyperlink ref="A9" location="'Upgrades'!A1" display="Upgrades"/>
    <hyperlink ref="A10" location="'Pacing'!A1" display="Pacing"/>
    <hyperlink ref="A11" location="'Starter Routes'!A1" display="Starter Routes"/>
    <hyperlink ref="A12" location="'Offline'!A1" display="Offline"/>
    <hyperlink ref="A13" location="'Blueprints &amp; Parts'!A1" display="Blueprints &amp; Parts"/>
    <hyperlink ref="A14" location="'UI &amp; States'!A1" display="UI &amp; States"/>
    <hyperlink ref="A15" location="'Checks'!A1" display="Checks"/>
  </hyperlink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19.71"/>
    <col collapsed="false" customWidth="true" hidden="false" outlineLevel="0" max="3" min="3" style="0" width="82.71"/>
    <col collapsed="false" customWidth="true" hidden="false" outlineLevel="0" max="4" min="4" style="0" width="25.71"/>
  </cols>
  <sheetData>
    <row r="1" customFormat="false" ht="37.5" hidden="false" customHeight="true" outlineLevel="0" collapsed="false">
      <c r="A1" s="1" t="s">
        <v>44</v>
      </c>
      <c r="B1" s="1"/>
      <c r="C1" s="1"/>
      <c r="D1" s="1"/>
    </row>
    <row r="2" customFormat="false" ht="24" hidden="false" customHeight="true" outlineLevel="0" collapsed="false">
      <c r="A2" s="2" t="s">
        <v>45</v>
      </c>
      <c r="B2" s="2"/>
      <c r="C2" s="2"/>
      <c r="D2" s="2"/>
    </row>
    <row r="3" customFormat="false" ht="21.75" hidden="false" customHeight="true" outlineLevel="0" collapsed="false">
      <c r="A3" s="2"/>
      <c r="B3" s="2"/>
      <c r="C3" s="2"/>
      <c r="D3" s="2"/>
    </row>
    <row r="5" customFormat="false" ht="33.75" hidden="false" customHeight="true" outlineLevel="0" collapsed="false">
      <c r="A5" s="3" t="s">
        <v>46</v>
      </c>
      <c r="B5" s="3" t="s">
        <v>47</v>
      </c>
      <c r="C5" s="3" t="s">
        <v>48</v>
      </c>
      <c r="D5" s="3" t="s">
        <v>49</v>
      </c>
    </row>
    <row r="6" customFormat="false" ht="31.5" hidden="false" customHeight="true" outlineLevel="0" collapsed="false">
      <c r="A6" s="5" t="s">
        <v>50</v>
      </c>
      <c r="B6" s="6" t="n">
        <v>0</v>
      </c>
      <c r="C6" s="5" t="s">
        <v>51</v>
      </c>
      <c r="D6" s="5" t="s">
        <v>52</v>
      </c>
    </row>
    <row r="7" customFormat="false" ht="31.5" hidden="false" customHeight="true" outlineLevel="0" collapsed="false">
      <c r="A7" s="5" t="s">
        <v>53</v>
      </c>
      <c r="B7" s="6" t="n">
        <v>100</v>
      </c>
      <c r="C7" s="5" t="s">
        <v>54</v>
      </c>
      <c r="D7" s="5" t="s">
        <v>52</v>
      </c>
    </row>
    <row r="8" customFormat="false" ht="31.5" hidden="false" customHeight="true" outlineLevel="0" collapsed="false">
      <c r="A8" s="5" t="s">
        <v>55</v>
      </c>
      <c r="B8" s="6" t="n">
        <v>3</v>
      </c>
      <c r="C8" s="5" t="s">
        <v>56</v>
      </c>
      <c r="D8" s="5" t="s">
        <v>52</v>
      </c>
    </row>
    <row r="9" customFormat="false" ht="31.5" hidden="false" customHeight="true" outlineLevel="0" collapsed="false">
      <c r="A9" s="5" t="s">
        <v>57</v>
      </c>
      <c r="B9" s="6" t="n">
        <v>8</v>
      </c>
      <c r="C9" s="5" t="s">
        <v>58</v>
      </c>
      <c r="D9" s="5" t="s">
        <v>52</v>
      </c>
    </row>
    <row r="10" customFormat="false" ht="31.5" hidden="false" customHeight="true" outlineLevel="0" collapsed="false">
      <c r="A10" s="5" t="s">
        <v>59</v>
      </c>
      <c r="B10" s="7" t="n">
        <v>1</v>
      </c>
      <c r="C10" s="5" t="s">
        <v>60</v>
      </c>
      <c r="D10" s="5" t="s">
        <v>61</v>
      </c>
    </row>
    <row r="11" customFormat="false" ht="31.5" hidden="false" customHeight="true" outlineLevel="0" collapsed="false">
      <c r="A11" s="5" t="s">
        <v>62</v>
      </c>
      <c r="B11" s="7" t="n">
        <v>0.9</v>
      </c>
      <c r="C11" s="5" t="s">
        <v>63</v>
      </c>
      <c r="D11" s="5" t="s">
        <v>52</v>
      </c>
    </row>
    <row r="12" customFormat="false" ht="31.5" hidden="false" customHeight="true" outlineLevel="0" collapsed="false">
      <c r="A12" s="5" t="s">
        <v>64</v>
      </c>
      <c r="B12" s="7" t="n">
        <v>0.9</v>
      </c>
      <c r="C12" s="5" t="s">
        <v>65</v>
      </c>
      <c r="D12" s="5" t="s">
        <v>52</v>
      </c>
    </row>
    <row r="13" customFormat="false" ht="31.5" hidden="false" customHeight="true" outlineLevel="0" collapsed="false">
      <c r="A13" s="5" t="s">
        <v>66</v>
      </c>
      <c r="B13" s="6" t="n">
        <v>1</v>
      </c>
      <c r="C13" s="5" t="s">
        <v>67</v>
      </c>
      <c r="D13" s="5" t="s">
        <v>52</v>
      </c>
    </row>
    <row r="14" customFormat="false" ht="31.5" hidden="false" customHeight="true" outlineLevel="0" collapsed="false">
      <c r="A14" s="5" t="s">
        <v>68</v>
      </c>
      <c r="B14" s="6" t="n">
        <v>80</v>
      </c>
      <c r="C14" s="5" t="s">
        <v>69</v>
      </c>
      <c r="D14" s="5" t="s">
        <v>52</v>
      </c>
    </row>
    <row r="15" customFormat="false" ht="31.5" hidden="false" customHeight="true" outlineLevel="0" collapsed="false">
      <c r="A15" s="5" t="s">
        <v>70</v>
      </c>
      <c r="B15" s="6" t="n">
        <v>40</v>
      </c>
      <c r="C15" s="5" t="s">
        <v>71</v>
      </c>
      <c r="D15" s="5" t="s">
        <v>72</v>
      </c>
    </row>
    <row r="16" customFormat="false" ht="31.5" hidden="false" customHeight="true" outlineLevel="0" collapsed="false">
      <c r="A16" s="5" t="s">
        <v>73</v>
      </c>
      <c r="B16" s="7" t="n">
        <v>0.5</v>
      </c>
      <c r="C16" s="5" t="s">
        <v>74</v>
      </c>
      <c r="D16" s="5" t="s">
        <v>61</v>
      </c>
    </row>
  </sheetData>
  <mergeCells count="2">
    <mergeCell ref="A1:D1"/>
    <mergeCell ref="A2:D3"/>
  </mergeCells>
  <dataValidations count="11"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6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7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9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14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15" type="decimal">
      <formula1>0</formula1>
      <formula2>100000</formula2>
    </dataValidation>
    <dataValidation allowBlank="true" error="Enter a value between 0.01 and 1." errorStyle="stop" errorTitle="Check this value" operator="between" prompt="Change blue cells; green cells calculate." promptTitle="Tuning input" showDropDown="false" showErrorMessage="true" showInputMessage="true" sqref="B10" type="decimal">
      <formula1>0.01</formula1>
      <formula2>1</formula2>
    </dataValidation>
    <dataValidation allowBlank="true" error="Enter a value between 0.01 and 1." errorStyle="stop" errorTitle="Check this value" operator="between" prompt="Change blue cells; green cells calculate." promptTitle="Tuning input" showDropDown="false" showErrorMessage="true" showInputMessage="true" sqref="B16" type="decimal">
      <formula1>0.01</formula1>
      <formula2>1</formula2>
    </dataValidation>
    <dataValidation allowBlank="true" error="Enter a value between 0.5 and 1." errorStyle="stop" errorTitle="Check this value" operator="between" prompt="Change blue cells; green cells calculate." promptTitle="Tuning input" showDropDown="false" showErrorMessage="true" showInputMessage="true" sqref="B11" type="decimal">
      <formula1>0.5</formula1>
      <formula2>1</formula2>
    </dataValidation>
    <dataValidation allowBlank="true" error="Enter a value between 0.5 and 1." errorStyle="stop" errorTitle="Check this value" operator="between" prompt="Change blue cells; green cells calculate." promptTitle="Tuning input" showDropDown="false" showErrorMessage="true" showInputMessage="true" sqref="B12" type="decimal">
      <formula1>0.5</formula1>
      <formula2>1</formula2>
    </dataValidation>
    <dataValidation allowBlank="true" error="Enter a value between 0 and 1000." errorStyle="stop" errorTitle="Check this value" operator="between" prompt="Change blue cells; green cells calculate." promptTitle="Tuning input" showDropDown="false" showErrorMessage="true" showInputMessage="true" sqref="B13" type="whole">
      <formula1>0</formula1>
      <formula2>1000</formula2>
    </dataValidation>
    <dataValidation allowBlank="true" error="Enter a value between 1 and 10000." errorStyle="stop" errorTitle="Check this value" operator="between" prompt="Change blue cells; green cells calculate." promptTitle="Tuning input" showDropDown="false" showErrorMessage="true" showInputMessage="true" sqref="B8" type="whole">
      <formula1>1</formula1>
      <formula2>10000</formula2>
    </dataValidation>
  </dataValidation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S1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25.71"/>
    <col collapsed="false" customWidth="true" hidden="false" outlineLevel="0" max="4" min="3" style="0" width="14.71"/>
    <col collapsed="false" customWidth="true" hidden="false" outlineLevel="0" max="6" min="5" style="0" width="12.71"/>
    <col collapsed="false" customWidth="true" hidden="false" outlineLevel="0" max="8" min="7" style="0" width="13.71"/>
    <col collapsed="false" customWidth="true" hidden="false" outlineLevel="0" max="10" min="9" style="0" width="16.71"/>
    <col collapsed="false" customWidth="true" hidden="false" outlineLevel="0" max="11" min="11" style="0" width="17.71"/>
    <col collapsed="false" customWidth="true" hidden="false" outlineLevel="0" max="12" min="12" style="0" width="16.71"/>
    <col collapsed="false" customWidth="true" hidden="false" outlineLevel="0" max="13" min="13" style="0" width="42.71"/>
    <col collapsed="false" customWidth="true" hidden="false" outlineLevel="0" max="14" min="14" style="0" width="18.71"/>
    <col collapsed="false" customWidth="true" hidden="false" outlineLevel="0" max="15" min="15" style="0" width="12.71"/>
    <col collapsed="false" customWidth="true" hidden="false" outlineLevel="0" max="17" min="16" style="0" width="14.71"/>
    <col collapsed="false" customWidth="true" hidden="false" outlineLevel="0" max="18" min="18" style="0" width="16.71"/>
    <col collapsed="false" customWidth="true" hidden="false" outlineLevel="0" max="19" min="19" style="0" width="18.71"/>
  </cols>
  <sheetData>
    <row r="1" customFormat="false" ht="37.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4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3.75" hidden="false" customHeight="true" outlineLevel="0" collapsed="false">
      <c r="A5" s="3" t="s">
        <v>77</v>
      </c>
      <c r="B5" s="3" t="s">
        <v>78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  <c r="H5" s="3" t="s">
        <v>84</v>
      </c>
      <c r="I5" s="3" t="s">
        <v>85</v>
      </c>
      <c r="J5" s="3" t="s">
        <v>86</v>
      </c>
      <c r="K5" s="3" t="s">
        <v>87</v>
      </c>
      <c r="L5" s="3" t="s">
        <v>88</v>
      </c>
      <c r="M5" s="3" t="s">
        <v>89</v>
      </c>
      <c r="N5" s="3" t="s">
        <v>35</v>
      </c>
      <c r="O5" s="3" t="s">
        <v>90</v>
      </c>
      <c r="P5" s="3" t="s">
        <v>91</v>
      </c>
      <c r="Q5" s="3" t="s">
        <v>92</v>
      </c>
      <c r="R5" s="3" t="s">
        <v>93</v>
      </c>
      <c r="S5" s="3" t="s">
        <v>94</v>
      </c>
    </row>
    <row r="6" customFormat="false" ht="60" hidden="false" customHeight="true" outlineLevel="0" collapsed="false">
      <c r="A6" s="5" t="s">
        <v>95</v>
      </c>
      <c r="B6" s="5" t="s">
        <v>96</v>
      </c>
      <c r="C6" s="8" t="n">
        <v>0</v>
      </c>
      <c r="D6" s="8" t="n">
        <v>20</v>
      </c>
      <c r="E6" s="8" t="n">
        <v>50</v>
      </c>
      <c r="F6" s="8" t="n">
        <v>10</v>
      </c>
      <c r="G6" s="8" t="n">
        <v>40</v>
      </c>
      <c r="H6" s="8" t="n">
        <v>30</v>
      </c>
      <c r="I6" s="8" t="n">
        <v>0</v>
      </c>
      <c r="J6" s="8" t="n">
        <v>10</v>
      </c>
      <c r="K6" s="8" t="n">
        <v>0</v>
      </c>
      <c r="L6" s="8" t="n">
        <v>0</v>
      </c>
      <c r="M6" s="5" t="s">
        <v>97</v>
      </c>
      <c r="N6" s="5" t="s">
        <v>98</v>
      </c>
      <c r="O6" s="9" t="n">
        <f aca="false">E6+F6</f>
        <v>60</v>
      </c>
      <c r="P6" s="9" t="n">
        <f aca="false">MIN(G6,H6,IF(I6=0,H6,I6))</f>
        <v>30</v>
      </c>
      <c r="Q6" s="9" t="n">
        <f aca="false">P6*J6</f>
        <v>300</v>
      </c>
      <c r="R6" s="9" t="n">
        <f aca="false">D6*3600/O6</f>
        <v>1200</v>
      </c>
      <c r="S6" s="9" t="n">
        <f aca="false">SUM(Q$6:Q6)</f>
        <v>300</v>
      </c>
    </row>
    <row r="7" customFormat="false" ht="60" hidden="false" customHeight="true" outlineLevel="0" collapsed="false">
      <c r="A7" s="5" t="s">
        <v>99</v>
      </c>
      <c r="B7" s="5" t="s">
        <v>100</v>
      </c>
      <c r="C7" s="8" t="n">
        <v>600</v>
      </c>
      <c r="D7" s="8" t="n">
        <v>60</v>
      </c>
      <c r="E7" s="8" t="n">
        <v>60</v>
      </c>
      <c r="F7" s="8" t="n">
        <v>10</v>
      </c>
      <c r="G7" s="8" t="n">
        <v>40</v>
      </c>
      <c r="H7" s="8" t="n">
        <v>30</v>
      </c>
      <c r="I7" s="8" t="n">
        <v>36</v>
      </c>
      <c r="J7" s="8" t="n">
        <v>25</v>
      </c>
      <c r="K7" s="8" t="n">
        <v>15</v>
      </c>
      <c r="L7" s="8" t="n">
        <v>5</v>
      </c>
      <c r="M7" s="5" t="s">
        <v>101</v>
      </c>
      <c r="N7" s="5" t="s">
        <v>98</v>
      </c>
      <c r="O7" s="9" t="n">
        <f aca="false">E7+F7</f>
        <v>70</v>
      </c>
      <c r="P7" s="9" t="n">
        <f aca="false">MIN(G7,H7,IF(I7=0,H7,I7))</f>
        <v>30</v>
      </c>
      <c r="Q7" s="9" t="n">
        <f aca="false">P7*J7</f>
        <v>750</v>
      </c>
      <c r="R7" s="9" t="n">
        <f aca="false">D7*3600/O7</f>
        <v>3085.71428571429</v>
      </c>
      <c r="S7" s="9" t="n">
        <f aca="false">SUM(Q$6:Q7)</f>
        <v>1050</v>
      </c>
    </row>
    <row r="8" customFormat="false" ht="60" hidden="false" customHeight="true" outlineLevel="0" collapsed="false">
      <c r="A8" s="5" t="s">
        <v>102</v>
      </c>
      <c r="B8" s="5" t="s">
        <v>103</v>
      </c>
      <c r="C8" s="8" t="n">
        <v>6000</v>
      </c>
      <c r="D8" s="8" t="n">
        <v>150</v>
      </c>
      <c r="E8" s="8" t="n">
        <v>100</v>
      </c>
      <c r="F8" s="8" t="n">
        <v>10</v>
      </c>
      <c r="G8" s="8" t="n">
        <v>36</v>
      </c>
      <c r="H8" s="8" t="n">
        <v>24</v>
      </c>
      <c r="I8" s="8" t="n">
        <v>30</v>
      </c>
      <c r="J8" s="8" t="n">
        <v>65</v>
      </c>
      <c r="K8" s="8" t="n">
        <v>12</v>
      </c>
      <c r="L8" s="8" t="n">
        <v>20</v>
      </c>
      <c r="M8" s="5" t="s">
        <v>104</v>
      </c>
      <c r="N8" s="5" t="s">
        <v>105</v>
      </c>
      <c r="O8" s="9" t="n">
        <f aca="false">E8+F8</f>
        <v>110</v>
      </c>
      <c r="P8" s="9" t="n">
        <f aca="false">MIN(G8,H8,IF(I8=0,H8,I8))</f>
        <v>24</v>
      </c>
      <c r="Q8" s="9" t="n">
        <f aca="false">P8*J8</f>
        <v>1560</v>
      </c>
      <c r="R8" s="9" t="n">
        <f aca="false">D8*3600/O8</f>
        <v>4909.09090909091</v>
      </c>
      <c r="S8" s="9" t="n">
        <f aca="false">SUM(Q$6:Q8)</f>
        <v>2610</v>
      </c>
    </row>
    <row r="9" customFormat="false" ht="60" hidden="false" customHeight="true" outlineLevel="0" collapsed="false">
      <c r="A9" s="5" t="s">
        <v>106</v>
      </c>
      <c r="B9" s="5" t="s">
        <v>107</v>
      </c>
      <c r="C9" s="8" t="n">
        <v>40000</v>
      </c>
      <c r="D9" s="8" t="n">
        <v>350</v>
      </c>
      <c r="E9" s="8" t="n">
        <v>130</v>
      </c>
      <c r="F9" s="8" t="n">
        <v>10</v>
      </c>
      <c r="G9" s="8" t="n">
        <v>36</v>
      </c>
      <c r="H9" s="8" t="n">
        <v>24</v>
      </c>
      <c r="I9" s="8" t="n">
        <v>30</v>
      </c>
      <c r="J9" s="8" t="n">
        <v>175</v>
      </c>
      <c r="K9" s="8" t="n">
        <v>15</v>
      </c>
      <c r="L9" s="8" t="n">
        <v>30</v>
      </c>
      <c r="M9" s="5" t="s">
        <v>108</v>
      </c>
      <c r="N9" s="5" t="s">
        <v>105</v>
      </c>
      <c r="O9" s="9" t="n">
        <f aca="false">E9+F9</f>
        <v>140</v>
      </c>
      <c r="P9" s="9" t="n">
        <f aca="false">MIN(G9,H9,IF(I9=0,H9,I9))</f>
        <v>24</v>
      </c>
      <c r="Q9" s="9" t="n">
        <f aca="false">P9*J9</f>
        <v>4200</v>
      </c>
      <c r="R9" s="9" t="n">
        <f aca="false">D9*3600/O9</f>
        <v>9000</v>
      </c>
      <c r="S9" s="9" t="n">
        <f aca="false">SUM(Q$6:Q9)</f>
        <v>6810</v>
      </c>
    </row>
    <row r="10" customFormat="false" ht="60" hidden="false" customHeight="true" outlineLevel="0" collapsed="false">
      <c r="A10" s="5" t="s">
        <v>109</v>
      </c>
      <c r="B10" s="5" t="s">
        <v>110</v>
      </c>
      <c r="C10" s="8" t="n">
        <v>180000</v>
      </c>
      <c r="D10" s="8" t="n">
        <v>900</v>
      </c>
      <c r="E10" s="8" t="n">
        <v>180</v>
      </c>
      <c r="F10" s="8" t="n">
        <v>10</v>
      </c>
      <c r="G10" s="8" t="n">
        <v>30</v>
      </c>
      <c r="H10" s="8" t="n">
        <v>20</v>
      </c>
      <c r="I10" s="8" t="n">
        <v>24</v>
      </c>
      <c r="J10" s="8" t="n">
        <v>450</v>
      </c>
      <c r="K10" s="8" t="n">
        <v>18</v>
      </c>
      <c r="L10" s="8" t="n">
        <v>40</v>
      </c>
      <c r="M10" s="5" t="s">
        <v>111</v>
      </c>
      <c r="N10" s="5" t="s">
        <v>105</v>
      </c>
      <c r="O10" s="9" t="n">
        <f aca="false">E10+F10</f>
        <v>190</v>
      </c>
      <c r="P10" s="9" t="n">
        <f aca="false">MIN(G10,H10,IF(I10=0,H10,I10))</f>
        <v>20</v>
      </c>
      <c r="Q10" s="9" t="n">
        <f aca="false">P10*J10</f>
        <v>9000</v>
      </c>
      <c r="R10" s="9" t="n">
        <f aca="false">D10*3600/O10</f>
        <v>17052.6315789474</v>
      </c>
      <c r="S10" s="9" t="n">
        <f aca="false">SUM(Q$6:Q10)</f>
        <v>15810</v>
      </c>
    </row>
  </sheetData>
  <autoFilter ref="A5:S10"/>
  <mergeCells count="2">
    <mergeCell ref="A1:S1"/>
    <mergeCell ref="A2:S3"/>
  </mergeCells>
  <conditionalFormatting sqref="Q6:Q10">
    <cfRule type="dataBar" priority="2">
      <dataBar showValue="1" minLength="10" maxLength="90">
        <cfvo type="min" val="0"/>
        <cfvo type="max" val="0"/>
        <color rgb="FF167E78"/>
      </dataBar>
      <extLst>
        <ext xmlns:x14="http://schemas.microsoft.com/office/spreadsheetml/2009/9/main" uri="{B025F937-C7B1-47D3-B67F-A62EFF666E3E}">
          <x14:id>{4A5BE6E0-C3F8-4B3C-9B51-8EED1B8FA14D}</x14:id>
        </ext>
      </extLst>
    </cfRule>
  </conditionalFormatting>
  <dataValidations count="10">
    <dataValidation allowBlank="true" error="Enter a value between 0 and 10000000." errorStyle="stop" errorTitle="Check this value" operator="between" prompt="Change blue cells; green cells calculate." promptTitle="Tuning input" showDropDown="false" showErrorMessage="true" showInputMessage="true" sqref="C6:C10" type="decimal">
      <formula1>0</formula1>
      <formula2>10000000</formula2>
    </dataValidation>
    <dataValidation allowBlank="true" error="Enter a value between 1 and 10000000." errorStyle="stop" errorTitle="Check this value" operator="between" prompt="Change blue cells; green cells calculate." promptTitle="Tuning input" showDropDown="false" showErrorMessage="true" showInputMessage="true" sqref="D6:D10" type="decimal">
      <formula1>1</formula1>
      <formula2>10000000</formula2>
    </dataValidation>
    <dataValidation allowBlank="true" error="Enter a value between 1 and 10000000." errorStyle="stop" errorTitle="Check this value" operator="between" prompt="Change blue cells; green cells calculate." promptTitle="Tuning input" showDropDown="false" showErrorMessage="true" showInputMessage="true" sqref="E6:E10" type="decimal">
      <formula1>1</formula1>
      <formula2>10000000</formula2>
    </dataValidation>
    <dataValidation allowBlank="true" error="Enter a value between 0 and 10000000." errorStyle="stop" errorTitle="Check this value" operator="between" prompt="Change blue cells; green cells calculate." promptTitle="Tuning input" showDropDown="false" showErrorMessage="true" showInputMessage="true" sqref="F6:F10" type="decimal">
      <formula1>0</formula1>
      <formula2>10000000</formula2>
    </dataValidation>
    <dataValidation allowBlank="true" error="Enter a value between 1 and 10000000." errorStyle="stop" errorTitle="Check this value" operator="between" prompt="Change blue cells; green cells calculate." promptTitle="Tuning input" showDropDown="false" showErrorMessage="true" showInputMessage="true" sqref="G6:G10" type="decimal">
      <formula1>1</formula1>
      <formula2>10000000</formula2>
    </dataValidation>
    <dataValidation allowBlank="true" error="Enter a value between 1 and 10000000." errorStyle="stop" errorTitle="Check this value" operator="between" prompt="Change blue cells; green cells calculate." promptTitle="Tuning input" showDropDown="false" showErrorMessage="true" showInputMessage="true" sqref="H6:H10" type="decimal">
      <formula1>1</formula1>
      <formula2>10000000</formula2>
    </dataValidation>
    <dataValidation allowBlank="true" error="Enter a value between 0 and 10000000." errorStyle="stop" errorTitle="Check this value" operator="between" prompt="Change blue cells; green cells calculate." promptTitle="Tuning input" showDropDown="false" showErrorMessage="true" showInputMessage="true" sqref="I6:I10" type="decimal">
      <formula1>0</formula1>
      <formula2>10000000</formula2>
    </dataValidation>
    <dataValidation allowBlank="true" error="Enter a value between 1 and 10000000." errorStyle="stop" errorTitle="Check this value" operator="between" prompt="Change blue cells; green cells calculate." promptTitle="Tuning input" showDropDown="false" showErrorMessage="true" showInputMessage="true" sqref="J6:J10" type="decimal">
      <formula1>1</formula1>
      <formula2>10000000</formula2>
    </dataValidation>
    <dataValidation allowBlank="true" error="Enter a value between 0 and 10000000." errorStyle="stop" errorTitle="Check this value" operator="between" prompt="Change blue cells; green cells calculate." promptTitle="Tuning input" showDropDown="false" showErrorMessage="true" showInputMessage="true" sqref="K6:K10" type="whole">
      <formula1>0</formula1>
      <formula2>10000000</formula2>
    </dataValidation>
    <dataValidation allowBlank="true" error="Enter a value between 0 and 10000000." errorStyle="stop" errorTitle="Check this value" operator="between" prompt="Change blue cells; green cells calculate." promptTitle="Tuning input" showDropDown="false" showErrorMessage="true" showInputMessage="true" sqref="L6:L10" type="whole">
      <formula1>0</formula1>
      <formula2>10000000</formula2>
    </dataValidation>
  </dataValidation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5BE6E0-C3F8-4B3C-9B51-8EED1B8FA14D}">
            <x14:dataBar minLength="10" maxLength="90" axisPosition="none" gradient="true">
              <x14:cfvo type="min"/>
              <x14:cfvo type="max"/>
              <x14:negativeFillColor rgb="FF167E78"/>
              <x14:axisColor rgb="FF000000"/>
            </x14:dataBar>
          </x14:cfRule>
          <xm:sqref>Q6:Q10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7.71"/>
    <col collapsed="false" customWidth="true" hidden="false" outlineLevel="0" max="2" min="2" style="0" width="50.71"/>
    <col collapsed="false" customWidth="true" hidden="false" outlineLevel="0" max="3" min="3" style="0" width="17.71"/>
    <col collapsed="false" customWidth="true" hidden="false" outlineLevel="0" max="4" min="4" style="0" width="13.71"/>
    <col collapsed="false" customWidth="true" hidden="false" outlineLevel="0" max="5" min="5" style="0" width="28.71"/>
    <col collapsed="false" customWidth="true" hidden="false" outlineLevel="0" max="6" min="6" style="0" width="77.71"/>
  </cols>
  <sheetData>
    <row r="1" customFormat="false" ht="37.5" hidden="false" customHeight="true" outlineLevel="0" collapsed="false">
      <c r="A1" s="1" t="s">
        <v>112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113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</row>
    <row r="5" customFormat="false" ht="33.75" hidden="false" customHeight="true" outlineLevel="0" collapsed="false">
      <c r="A5" s="3" t="s">
        <v>114</v>
      </c>
      <c r="B5" s="3" t="s">
        <v>115</v>
      </c>
      <c r="C5" s="3" t="s">
        <v>116</v>
      </c>
      <c r="D5" s="3" t="s">
        <v>117</v>
      </c>
      <c r="E5" s="3" t="s">
        <v>118</v>
      </c>
      <c r="F5" s="3" t="s">
        <v>119</v>
      </c>
    </row>
    <row r="6" customFormat="false" ht="48" hidden="false" customHeight="true" outlineLevel="0" collapsed="false">
      <c r="A6" s="5" t="s">
        <v>120</v>
      </c>
      <c r="B6" s="5" t="s">
        <v>121</v>
      </c>
      <c r="C6" s="5" t="n">
        <v>0</v>
      </c>
      <c r="D6" s="5" t="n">
        <v>0</v>
      </c>
      <c r="E6" s="5" t="s">
        <v>122</v>
      </c>
      <c r="F6" s="5" t="s">
        <v>123</v>
      </c>
    </row>
    <row r="7" customFormat="false" ht="48" hidden="false" customHeight="true" outlineLevel="0" collapsed="false">
      <c r="A7" s="5" t="s">
        <v>124</v>
      </c>
      <c r="B7" s="5" t="s">
        <v>125</v>
      </c>
      <c r="C7" s="10" t="n">
        <f aca="false">Assumptions!B7</f>
        <v>100</v>
      </c>
      <c r="D7" s="5" t="n">
        <v>0</v>
      </c>
      <c r="E7" s="5" t="s">
        <v>126</v>
      </c>
      <c r="F7" s="5" t="s">
        <v>127</v>
      </c>
    </row>
    <row r="8" customFormat="false" ht="48" hidden="false" customHeight="true" outlineLevel="0" collapsed="false">
      <c r="A8" s="5" t="s">
        <v>128</v>
      </c>
      <c r="B8" s="5" t="s">
        <v>129</v>
      </c>
      <c r="C8" s="10" t="n">
        <f aca="false">Assumptions!B14</f>
        <v>80</v>
      </c>
      <c r="D8" s="5" t="n">
        <v>0</v>
      </c>
      <c r="E8" s="5" t="s">
        <v>122</v>
      </c>
      <c r="F8" s="5" t="s">
        <v>130</v>
      </c>
    </row>
    <row r="9" customFormat="false" ht="48" hidden="false" customHeight="true" outlineLevel="0" collapsed="false">
      <c r="A9" s="5" t="s">
        <v>131</v>
      </c>
      <c r="B9" s="5" t="s">
        <v>132</v>
      </c>
      <c r="C9" s="5" t="s">
        <v>133</v>
      </c>
      <c r="D9" s="5" t="n">
        <v>0</v>
      </c>
      <c r="E9" s="5" t="s">
        <v>134</v>
      </c>
      <c r="F9" s="5" t="s">
        <v>135</v>
      </c>
    </row>
    <row r="10" customFormat="false" ht="48" hidden="false" customHeight="true" outlineLevel="0" collapsed="false">
      <c r="A10" s="5" t="s">
        <v>136</v>
      </c>
      <c r="B10" s="5" t="s">
        <v>137</v>
      </c>
      <c r="C10" s="5" t="s">
        <v>133</v>
      </c>
      <c r="D10" s="5" t="n">
        <v>0</v>
      </c>
      <c r="E10" s="5" t="s">
        <v>134</v>
      </c>
      <c r="F10" s="5" t="s">
        <v>138</v>
      </c>
    </row>
    <row r="11" customFormat="false" ht="48" hidden="false" customHeight="true" outlineLevel="0" collapsed="false">
      <c r="A11" s="5" t="s">
        <v>139</v>
      </c>
      <c r="B11" s="5" t="s">
        <v>140</v>
      </c>
      <c r="C11" s="5" t="s">
        <v>133</v>
      </c>
      <c r="D11" s="5" t="n">
        <v>0</v>
      </c>
      <c r="E11" s="5" t="s">
        <v>134</v>
      </c>
      <c r="F11" s="5" t="s">
        <v>141</v>
      </c>
    </row>
    <row r="12" customFormat="false" ht="48" hidden="false" customHeight="true" outlineLevel="0" collapsed="false">
      <c r="A12" s="5" t="s">
        <v>142</v>
      </c>
      <c r="B12" s="5" t="s">
        <v>143</v>
      </c>
      <c r="C12" s="5" t="s">
        <v>133</v>
      </c>
      <c r="D12" s="5" t="n">
        <v>0</v>
      </c>
      <c r="E12" s="5" t="s">
        <v>122</v>
      </c>
      <c r="F12" s="5" t="s">
        <v>144</v>
      </c>
    </row>
    <row r="13" customFormat="false" ht="48" hidden="false" customHeight="true" outlineLevel="0" collapsed="false">
      <c r="A13" s="5" t="s">
        <v>145</v>
      </c>
      <c r="B13" s="5" t="s">
        <v>146</v>
      </c>
      <c r="C13" s="5" t="s">
        <v>147</v>
      </c>
      <c r="D13" s="5" t="s">
        <v>147</v>
      </c>
      <c r="E13" s="5" t="s">
        <v>148</v>
      </c>
      <c r="F13" s="5" t="s">
        <v>149</v>
      </c>
    </row>
    <row r="14" customFormat="false" ht="48" hidden="false" customHeight="true" outlineLevel="0" collapsed="false">
      <c r="A14" s="5" t="s">
        <v>150</v>
      </c>
      <c r="B14" s="5" t="s">
        <v>151</v>
      </c>
      <c r="C14" s="5" t="s">
        <v>152</v>
      </c>
      <c r="D14" s="5" t="s">
        <v>152</v>
      </c>
      <c r="E14" s="5" t="s">
        <v>153</v>
      </c>
      <c r="F14" s="5" t="s">
        <v>154</v>
      </c>
    </row>
  </sheetData>
  <mergeCells count="2">
    <mergeCell ref="A1:F1"/>
    <mergeCell ref="A2:F3"/>
  </mergeCell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Q1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.71"/>
    <col collapsed="false" customWidth="true" hidden="false" outlineLevel="0" max="2" min="2" style="0" width="13.71"/>
    <col collapsed="false" customWidth="true" hidden="false" outlineLevel="0" max="3" min="3" style="0" width="11.71"/>
    <col collapsed="false" customWidth="true" hidden="false" outlineLevel="0" max="5" min="4" style="0" width="14.71"/>
    <col collapsed="false" customWidth="true" hidden="false" outlineLevel="0" max="6" min="6" style="0" width="17.71"/>
    <col collapsed="false" customWidth="true" hidden="false" outlineLevel="0" max="8" min="7" style="0" width="14.71"/>
    <col collapsed="false" customWidth="true" hidden="false" outlineLevel="0" max="9" min="9" style="0" width="17.71"/>
    <col collapsed="false" customWidth="true" hidden="false" outlineLevel="0" max="10" min="10" style="0" width="13.71"/>
    <col collapsed="false" customWidth="true" hidden="false" outlineLevel="0" max="15" min="11" style="0" width="14.71"/>
    <col collapsed="false" customWidth="true" hidden="false" outlineLevel="0" max="16" min="16" style="0" width="16.71"/>
    <col collapsed="false" customWidth="true" hidden="false" outlineLevel="0" max="17" min="17" style="0" width="60.71"/>
  </cols>
  <sheetData>
    <row r="1" customFormat="false" ht="37.5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33.75" hidden="false" customHeight="true" outlineLevel="0" collapsed="false">
      <c r="A5" s="3" t="s">
        <v>157</v>
      </c>
      <c r="B5" s="3" t="s">
        <v>158</v>
      </c>
      <c r="C5" s="3" t="s">
        <v>117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163</v>
      </c>
      <c r="I5" s="3" t="s">
        <v>164</v>
      </c>
      <c r="J5" s="3" t="s">
        <v>165</v>
      </c>
      <c r="K5" s="3" t="s">
        <v>166</v>
      </c>
      <c r="L5" s="3" t="s">
        <v>167</v>
      </c>
      <c r="M5" s="3" t="s">
        <v>168</v>
      </c>
      <c r="N5" s="3" t="s">
        <v>169</v>
      </c>
      <c r="O5" s="3" t="s">
        <v>170</v>
      </c>
      <c r="P5" s="3" t="s">
        <v>171</v>
      </c>
      <c r="Q5" s="3" t="s">
        <v>172</v>
      </c>
    </row>
    <row r="6" customFormat="false" ht="51.75" hidden="false" customHeight="true" outlineLevel="0" collapsed="false">
      <c r="A6" s="5" t="s">
        <v>173</v>
      </c>
      <c r="B6" s="6" t="n">
        <v>120</v>
      </c>
      <c r="C6" s="6" t="n">
        <v>0</v>
      </c>
      <c r="D6" s="9" t="n">
        <f aca="false">Shops!G6</f>
        <v>40</v>
      </c>
      <c r="E6" s="9" t="n">
        <f aca="false">Shops!H6</f>
        <v>30</v>
      </c>
      <c r="F6" s="9" t="n">
        <f aca="false">Shops!I6</f>
        <v>0</v>
      </c>
      <c r="G6" s="9" t="n">
        <f aca="false">D6</f>
        <v>40</v>
      </c>
      <c r="H6" s="6" t="n">
        <v>45</v>
      </c>
      <c r="I6" s="9" t="n">
        <f aca="false">F6</f>
        <v>0</v>
      </c>
      <c r="J6" s="9" t="n">
        <f aca="false">Shops!J6</f>
        <v>10</v>
      </c>
      <c r="K6" s="9" t="n">
        <f aca="false">MIN(D6,E6,IF(F6=0,E6,F6))</f>
        <v>30</v>
      </c>
      <c r="L6" s="9" t="n">
        <f aca="false">MIN(G6,H6,IF(I6=0,H6,I6))</f>
        <v>40</v>
      </c>
      <c r="M6" s="9" t="n">
        <f aca="false">K6*J6</f>
        <v>300</v>
      </c>
      <c r="N6" s="9" t="n">
        <f aca="false">L6*J6</f>
        <v>400</v>
      </c>
      <c r="O6" s="9" t="n">
        <f aca="false">N6-M6</f>
        <v>100</v>
      </c>
      <c r="P6" s="9" t="n">
        <f aca="false">IF(O6&gt;0,B6/O6,"No gain")</f>
        <v>1.2</v>
      </c>
      <c r="Q6" s="5" t="s">
        <v>174</v>
      </c>
    </row>
    <row r="7" customFormat="false" ht="51.75" hidden="false" customHeight="true" outlineLevel="0" collapsed="false">
      <c r="A7" s="5" t="s">
        <v>175</v>
      </c>
      <c r="B7" s="6" t="n">
        <v>100</v>
      </c>
      <c r="C7" s="6" t="n">
        <v>0</v>
      </c>
      <c r="D7" s="9" t="n">
        <f aca="false">G6</f>
        <v>40</v>
      </c>
      <c r="E7" s="9" t="n">
        <f aca="false">H6</f>
        <v>45</v>
      </c>
      <c r="F7" s="9" t="n">
        <f aca="false">I6</f>
        <v>0</v>
      </c>
      <c r="G7" s="6" t="n">
        <v>60</v>
      </c>
      <c r="H7" s="9" t="n">
        <f aca="false">E7</f>
        <v>45</v>
      </c>
      <c r="I7" s="9" t="n">
        <f aca="false">F7</f>
        <v>0</v>
      </c>
      <c r="J7" s="9" t="n">
        <f aca="false">Shops!J6</f>
        <v>10</v>
      </c>
      <c r="K7" s="9" t="n">
        <f aca="false">MIN(D7,E7,IF(F7=0,E7,F7))</f>
        <v>40</v>
      </c>
      <c r="L7" s="9" t="n">
        <f aca="false">MIN(G7,H7,IF(I7=0,H7,I7))</f>
        <v>45</v>
      </c>
      <c r="M7" s="9" t="n">
        <f aca="false">K7*J7</f>
        <v>400</v>
      </c>
      <c r="N7" s="9" t="n">
        <f aca="false">L7*J7</f>
        <v>450</v>
      </c>
      <c r="O7" s="9" t="n">
        <f aca="false">N7-M7</f>
        <v>50</v>
      </c>
      <c r="P7" s="9" t="n">
        <f aca="false">IF(O7&gt;0,B7/O7,"No gain")</f>
        <v>2</v>
      </c>
      <c r="Q7" s="5" t="s">
        <v>176</v>
      </c>
    </row>
    <row r="8" customFormat="false" ht="51.75" hidden="false" customHeight="true" outlineLevel="0" collapsed="false">
      <c r="A8" s="5" t="s">
        <v>177</v>
      </c>
      <c r="B8" s="6" t="n">
        <v>100</v>
      </c>
      <c r="C8" s="6" t="n">
        <v>0</v>
      </c>
      <c r="D8" s="9" t="n">
        <f aca="false">Shops!G6</f>
        <v>40</v>
      </c>
      <c r="E8" s="9" t="n">
        <f aca="false">Shops!H6</f>
        <v>30</v>
      </c>
      <c r="F8" s="9" t="n">
        <f aca="false">Shops!I6</f>
        <v>0</v>
      </c>
      <c r="G8" s="6" t="n">
        <v>60</v>
      </c>
      <c r="H8" s="9" t="n">
        <f aca="false">E8</f>
        <v>30</v>
      </c>
      <c r="I8" s="9" t="n">
        <f aca="false">F8</f>
        <v>0</v>
      </c>
      <c r="J8" s="9" t="n">
        <f aca="false">Shops!J6</f>
        <v>10</v>
      </c>
      <c r="K8" s="9" t="n">
        <f aca="false">MIN(D8,E8,IF(F8=0,E8,F8))</f>
        <v>30</v>
      </c>
      <c r="L8" s="9" t="n">
        <f aca="false">MIN(G8,H8,IF(I8=0,H8,I8))</f>
        <v>30</v>
      </c>
      <c r="M8" s="9" t="n">
        <f aca="false">K8*J8</f>
        <v>300</v>
      </c>
      <c r="N8" s="9" t="n">
        <f aca="false">L8*J8</f>
        <v>300</v>
      </c>
      <c r="O8" s="9" t="n">
        <f aca="false">N8-M8</f>
        <v>0</v>
      </c>
      <c r="P8" s="9" t="str">
        <f aca="false">IF(O8&gt;0,B8/O8,"No gain")</f>
        <v>No gain</v>
      </c>
      <c r="Q8" s="5" t="s">
        <v>178</v>
      </c>
    </row>
    <row r="9" customFormat="false" ht="51.75" hidden="false" customHeight="true" outlineLevel="0" collapsed="false">
      <c r="A9" s="5" t="s">
        <v>179</v>
      </c>
      <c r="B9" s="6" t="n">
        <v>900</v>
      </c>
      <c r="C9" s="6" t="n">
        <v>6</v>
      </c>
      <c r="D9" s="9" t="n">
        <f aca="false">Shops!G7</f>
        <v>40</v>
      </c>
      <c r="E9" s="9" t="n">
        <f aca="false">Shops!H7</f>
        <v>30</v>
      </c>
      <c r="F9" s="9" t="n">
        <f aca="false">Shops!I7</f>
        <v>36</v>
      </c>
      <c r="G9" s="9" t="n">
        <f aca="false">D9</f>
        <v>40</v>
      </c>
      <c r="H9" s="6" t="n">
        <v>45</v>
      </c>
      <c r="I9" s="9" t="n">
        <f aca="false">F9</f>
        <v>36</v>
      </c>
      <c r="J9" s="9" t="n">
        <f aca="false">Shops!J7</f>
        <v>25</v>
      </c>
      <c r="K9" s="9" t="n">
        <f aca="false">MIN(D9,E9,IF(F9=0,E9,F9))</f>
        <v>30</v>
      </c>
      <c r="L9" s="9" t="n">
        <f aca="false">MIN(G9,H9,IF(I9=0,H9,I9))</f>
        <v>36</v>
      </c>
      <c r="M9" s="9" t="n">
        <f aca="false">K9*J9</f>
        <v>750</v>
      </c>
      <c r="N9" s="9" t="n">
        <f aca="false">L9*J9</f>
        <v>900</v>
      </c>
      <c r="O9" s="9" t="n">
        <f aca="false">N9-M9</f>
        <v>150</v>
      </c>
      <c r="P9" s="9" t="n">
        <f aca="false">IF(O9&gt;0,B9/O9,"No gain")</f>
        <v>6</v>
      </c>
      <c r="Q9" s="5" t="s">
        <v>180</v>
      </c>
    </row>
    <row r="10" customFormat="false" ht="51.75" hidden="false" customHeight="true" outlineLevel="0" collapsed="false">
      <c r="A10" s="5" t="s">
        <v>181</v>
      </c>
      <c r="B10" s="6" t="n">
        <v>600</v>
      </c>
      <c r="C10" s="6" t="n">
        <v>4</v>
      </c>
      <c r="D10" s="9" t="n">
        <f aca="false">G9</f>
        <v>40</v>
      </c>
      <c r="E10" s="9" t="n">
        <f aca="false">H9</f>
        <v>45</v>
      </c>
      <c r="F10" s="9" t="n">
        <f aca="false">I9</f>
        <v>36</v>
      </c>
      <c r="G10" s="9" t="n">
        <f aca="false">D10</f>
        <v>40</v>
      </c>
      <c r="H10" s="9" t="n">
        <f aca="false">E10</f>
        <v>45</v>
      </c>
      <c r="I10" s="6" t="n">
        <v>48</v>
      </c>
      <c r="J10" s="9" t="n">
        <f aca="false">Shops!J7</f>
        <v>25</v>
      </c>
      <c r="K10" s="9" t="n">
        <f aca="false">MIN(D10,E10,IF(F10=0,E10,F10))</f>
        <v>36</v>
      </c>
      <c r="L10" s="9" t="n">
        <f aca="false">MIN(G10,H10,IF(I10=0,H10,I10))</f>
        <v>40</v>
      </c>
      <c r="M10" s="9" t="n">
        <f aca="false">K10*J10</f>
        <v>900</v>
      </c>
      <c r="N10" s="9" t="n">
        <f aca="false">L10*J10</f>
        <v>1000</v>
      </c>
      <c r="O10" s="9" t="n">
        <f aca="false">N10-M10</f>
        <v>100</v>
      </c>
      <c r="P10" s="9" t="n">
        <f aca="false">IF(O10&gt;0,B10/O10,"No gain")</f>
        <v>6</v>
      </c>
      <c r="Q10" s="5" t="s">
        <v>182</v>
      </c>
    </row>
    <row r="11" customFormat="false" ht="51.75" hidden="false" customHeight="true" outlineLevel="0" collapsed="false">
      <c r="A11" s="5" t="s">
        <v>183</v>
      </c>
      <c r="B11" s="6" t="n">
        <v>750</v>
      </c>
      <c r="C11" s="6" t="n">
        <v>0</v>
      </c>
      <c r="D11" s="9" t="n">
        <f aca="false">G10</f>
        <v>40</v>
      </c>
      <c r="E11" s="9" t="n">
        <f aca="false">H10</f>
        <v>45</v>
      </c>
      <c r="F11" s="9" t="n">
        <f aca="false">I10</f>
        <v>48</v>
      </c>
      <c r="G11" s="6" t="n">
        <v>60</v>
      </c>
      <c r="H11" s="9" t="n">
        <f aca="false">E11</f>
        <v>45</v>
      </c>
      <c r="I11" s="9" t="n">
        <f aca="false">F11</f>
        <v>48</v>
      </c>
      <c r="J11" s="9" t="n">
        <f aca="false">Shops!J7</f>
        <v>25</v>
      </c>
      <c r="K11" s="9" t="n">
        <f aca="false">MIN(D11,E11,IF(F11=0,E11,F11))</f>
        <v>40</v>
      </c>
      <c r="L11" s="9" t="n">
        <f aca="false">MIN(G11,H11,IF(I11=0,H11,I11))</f>
        <v>45</v>
      </c>
      <c r="M11" s="9" t="n">
        <f aca="false">K11*J11</f>
        <v>1000</v>
      </c>
      <c r="N11" s="9" t="n">
        <f aca="false">L11*J11</f>
        <v>1125</v>
      </c>
      <c r="O11" s="9" t="n">
        <f aca="false">N11-M11</f>
        <v>125</v>
      </c>
      <c r="P11" s="9" t="n">
        <f aca="false">IF(O11&gt;0,B11/O11,"No gain")</f>
        <v>6</v>
      </c>
      <c r="Q11" s="5" t="s">
        <v>184</v>
      </c>
    </row>
    <row r="15" customFormat="false" ht="24.05" hidden="false" customHeight="false" outlineLevel="0" collapsed="false">
      <c r="A15" s="3" t="s">
        <v>185</v>
      </c>
      <c r="B15" s="3" t="s">
        <v>158</v>
      </c>
      <c r="C15" s="3" t="s">
        <v>186</v>
      </c>
      <c r="D15" s="3" t="s">
        <v>187</v>
      </c>
      <c r="E15" s="3" t="s">
        <v>188</v>
      </c>
      <c r="F15" s="3" t="s">
        <v>189</v>
      </c>
    </row>
    <row r="16" customFormat="false" ht="15" hidden="false" customHeight="false" outlineLevel="0" collapsed="false">
      <c r="A16" s="5" t="s">
        <v>128</v>
      </c>
      <c r="B16" s="9" t="n">
        <f aca="false">Assumptions!B14</f>
        <v>80</v>
      </c>
      <c r="C16" s="9" t="n">
        <f aca="false">Shops!R6</f>
        <v>1200</v>
      </c>
      <c r="D16" s="9" t="n">
        <f aca="false">Shops!D6*3600/(Assumptions!B15+Shops!F6)</f>
        <v>1440</v>
      </c>
      <c r="E16" s="9" t="n">
        <f aca="false">D16-C16</f>
        <v>240</v>
      </c>
      <c r="F16" s="9" t="n">
        <f aca="false">IF(E16&gt;0,B16/E16,"No gain")</f>
        <v>0.333333333333333</v>
      </c>
    </row>
  </sheetData>
  <mergeCells count="2">
    <mergeCell ref="A1:Q1"/>
    <mergeCell ref="A2:Q3"/>
  </mergeCells>
  <conditionalFormatting sqref="O6:O11">
    <cfRule type="cellIs" priority="2" operator="lessThanOrEqual" aboveAverage="0" equalAverage="0" bottom="0" percent="0" rank="0" text="" dxfId="6">
      <formula>0</formula>
    </cfRule>
  </conditionalFormatting>
  <dataValidations count="18"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6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6" type="whole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H6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7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7" type="whole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G7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8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8" type="whole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G8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9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9" type="whole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H9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10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10" type="whole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I10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B11" type="decimal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11" type="whole">
      <formula1>0</formula1>
      <formula2>100000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G11" type="decimal">
      <formula1>0</formula1>
      <formula2>100000</formula2>
    </dataValidation>
  </dataValidation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S1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13.71"/>
    <col collapsed="false" customWidth="true" hidden="false" outlineLevel="0" max="3" min="3" style="0" width="14.71"/>
    <col collapsed="false" customWidth="true" hidden="false" outlineLevel="0" max="4" min="4" style="0" width="15.71"/>
    <col collapsed="false" customWidth="true" hidden="false" outlineLevel="0" max="5" min="5" style="0" width="12.71"/>
    <col collapsed="false" customWidth="true" hidden="false" outlineLevel="0" max="6" min="6" style="0" width="13.71"/>
    <col collapsed="false" customWidth="true" hidden="false" outlineLevel="0" max="7" min="7" style="0" width="16.71"/>
    <col collapsed="false" customWidth="true" hidden="false" outlineLevel="0" max="8" min="8" style="0" width="18.71"/>
    <col collapsed="false" customWidth="true" hidden="false" outlineLevel="0" max="9" min="9" style="0" width="19.71"/>
    <col collapsed="false" customWidth="true" hidden="false" outlineLevel="0" max="10" min="10" style="0" width="18.71"/>
    <col collapsed="false" customWidth="true" hidden="false" outlineLevel="0" max="11" min="11" style="0" width="17.71"/>
    <col collapsed="false" customWidth="true" hidden="false" outlineLevel="0" max="12" min="12" style="0" width="18.71"/>
    <col collapsed="false" customWidth="true" hidden="false" outlineLevel="0" max="13" min="13" style="0" width="19.71"/>
    <col collapsed="false" customWidth="true" hidden="false" outlineLevel="0" max="14" min="14" style="0" width="17.71"/>
    <col collapsed="false" customWidth="true" hidden="false" outlineLevel="0" max="15" min="15" style="0" width="18.71"/>
    <col collapsed="false" customWidth="true" hidden="false" outlineLevel="0" max="17" min="16" style="0" width="16.71"/>
    <col collapsed="false" customWidth="true" hidden="false" outlineLevel="0" max="19" min="18" style="0" width="18.71"/>
  </cols>
  <sheetData>
    <row r="1" customFormat="false" ht="37.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4" hidden="false" customHeight="true" outlineLevel="0" collapsed="false">
      <c r="A2" s="2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3.75" hidden="false" customHeight="true" outlineLevel="0" collapsed="false">
      <c r="A5" s="3" t="s">
        <v>192</v>
      </c>
      <c r="B5" s="3" t="s">
        <v>193</v>
      </c>
      <c r="C5" s="3" t="s">
        <v>194</v>
      </c>
      <c r="D5" s="3" t="s">
        <v>195</v>
      </c>
      <c r="E5" s="3" t="s">
        <v>90</v>
      </c>
      <c r="F5" s="3" t="s">
        <v>196</v>
      </c>
      <c r="G5" s="3" t="s">
        <v>93</v>
      </c>
      <c r="H5" s="3" t="s">
        <v>197</v>
      </c>
      <c r="I5" s="3" t="s">
        <v>198</v>
      </c>
      <c r="J5" s="3" t="s">
        <v>199</v>
      </c>
      <c r="K5" s="3" t="s">
        <v>200</v>
      </c>
      <c r="L5" s="3" t="s">
        <v>201</v>
      </c>
      <c r="M5" s="3" t="s">
        <v>202</v>
      </c>
      <c r="N5" s="3" t="s">
        <v>203</v>
      </c>
      <c r="O5" s="3" t="s">
        <v>204</v>
      </c>
      <c r="P5" s="3" t="s">
        <v>205</v>
      </c>
      <c r="Q5" s="3" t="s">
        <v>206</v>
      </c>
      <c r="R5" s="3" t="s">
        <v>207</v>
      </c>
      <c r="S5" s="3" t="s">
        <v>208</v>
      </c>
    </row>
    <row r="6" customFormat="false" ht="48" hidden="false" customHeight="true" outlineLevel="0" collapsed="false">
      <c r="A6" s="5" t="s">
        <v>209</v>
      </c>
      <c r="B6" s="9" t="n">
        <f aca="false">Assumptions!B7</f>
        <v>100</v>
      </c>
      <c r="C6" s="9" t="n">
        <f aca="false">Assumptions!B6</f>
        <v>0</v>
      </c>
      <c r="D6" s="9" t="n">
        <f aca="false">Shops!D6</f>
        <v>20</v>
      </c>
      <c r="E6" s="9" t="n">
        <f aca="false">Shops!O6</f>
        <v>60</v>
      </c>
      <c r="F6" s="11" t="n">
        <f aca="false">Assumptions!B10</f>
        <v>1</v>
      </c>
      <c r="G6" s="9" t="n">
        <f aca="false">D6*3600/E6*F6</f>
        <v>1200</v>
      </c>
      <c r="H6" s="9" t="n">
        <f aca="false">0</f>
        <v>0</v>
      </c>
      <c r="I6" s="9" t="n">
        <f aca="false">MAX(0,B6-C6)</f>
        <v>100</v>
      </c>
      <c r="J6" s="10" t="n">
        <f aca="false">Assumptions!B8</f>
        <v>3</v>
      </c>
      <c r="K6" s="10" t="n">
        <f aca="false">0</f>
        <v>0</v>
      </c>
      <c r="L6" s="9" t="n">
        <f aca="false">0</f>
        <v>0</v>
      </c>
      <c r="M6" s="9" t="n">
        <f aca="false">MAX(I6/(G6+H6),J6*E6/(3600*F6),IF(K6=0,0,K6/MAX(L6,0.000001)))</f>
        <v>0.0833333333333333</v>
      </c>
      <c r="N6" s="10" t="n">
        <f aca="false">ROUNDUP(ROUND(M6*3600*F6/E6,9),0)</f>
        <v>5</v>
      </c>
      <c r="O6" s="9" t="n">
        <f aca="false">MAX(N6*E6/(3600*F6),IF(K6=0,0,K6/MAX(L6,0.000001)))</f>
        <v>0.0833333333333333</v>
      </c>
      <c r="P6" s="9" t="n">
        <f aca="false">N6*D6</f>
        <v>100</v>
      </c>
      <c r="Q6" s="9" t="n">
        <f aca="false">O6*H6</f>
        <v>0</v>
      </c>
      <c r="R6" s="9" t="n">
        <f aca="false">C6+P6+Q6-B6</f>
        <v>0</v>
      </c>
      <c r="S6" s="9" t="n">
        <f aca="false">SUM(O$6:O6)</f>
        <v>0.0833333333333333</v>
      </c>
    </row>
    <row r="7" customFormat="false" ht="48" hidden="false" customHeight="true" outlineLevel="0" collapsed="false">
      <c r="A7" s="5" t="s">
        <v>210</v>
      </c>
      <c r="B7" s="9" t="n">
        <f aca="false">Shops!C7</f>
        <v>600</v>
      </c>
      <c r="C7" s="9" t="n">
        <f aca="false">R6</f>
        <v>0</v>
      </c>
      <c r="D7" s="9" t="n">
        <f aca="false">Shops!D6</f>
        <v>20</v>
      </c>
      <c r="E7" s="9" t="n">
        <f aca="false">Shops!O6</f>
        <v>60</v>
      </c>
      <c r="F7" s="11" t="n">
        <f aca="false">Assumptions!B10</f>
        <v>1</v>
      </c>
      <c r="G7" s="9" t="n">
        <f aca="false">D7*3600/E7*F7</f>
        <v>1200</v>
      </c>
      <c r="H7" s="9" t="n">
        <f aca="false">SUM(Shops!Q$6:Q6)</f>
        <v>300</v>
      </c>
      <c r="I7" s="9" t="n">
        <f aca="false">MAX(0,B7-C7)</f>
        <v>600</v>
      </c>
      <c r="J7" s="10" t="n">
        <f aca="false">MAX(0,Shops!K7-N6)</f>
        <v>10</v>
      </c>
      <c r="K7" s="10" t="n">
        <f aca="false">Shops!L7</f>
        <v>5</v>
      </c>
      <c r="L7" s="9" t="n">
        <f aca="false">Shops!P6</f>
        <v>30</v>
      </c>
      <c r="M7" s="9" t="n">
        <f aca="false">MAX(I7/(G7+H7),J7*E7/(3600*F7),IF(K7=0,0,K7/MAX(L7,0.000001)))</f>
        <v>0.4</v>
      </c>
      <c r="N7" s="10" t="n">
        <f aca="false">ROUNDUP(ROUND(M7*3600*F7/E7,9),0)</f>
        <v>24</v>
      </c>
      <c r="O7" s="9" t="n">
        <f aca="false">MAX(N7*E7/(3600*F7),IF(K7=0,0,K7/MAX(L7,0.000001)))</f>
        <v>0.4</v>
      </c>
      <c r="P7" s="9" t="n">
        <f aca="false">N7*D7</f>
        <v>480</v>
      </c>
      <c r="Q7" s="9" t="n">
        <f aca="false">O7*H7</f>
        <v>120</v>
      </c>
      <c r="R7" s="9" t="n">
        <f aca="false">C7+P7+Q7-B7</f>
        <v>0</v>
      </c>
      <c r="S7" s="9" t="n">
        <f aca="false">SUM(O$6:O7)</f>
        <v>0.483333333333333</v>
      </c>
    </row>
    <row r="8" customFormat="false" ht="48" hidden="false" customHeight="true" outlineLevel="0" collapsed="false">
      <c r="A8" s="5" t="s">
        <v>211</v>
      </c>
      <c r="B8" s="9" t="n">
        <f aca="false">Shops!C8</f>
        <v>6000</v>
      </c>
      <c r="C8" s="9" t="n">
        <f aca="false">R7</f>
        <v>0</v>
      </c>
      <c r="D8" s="9" t="n">
        <f aca="false">Shops!D7</f>
        <v>60</v>
      </c>
      <c r="E8" s="9" t="n">
        <f aca="false">Shops!O7</f>
        <v>70</v>
      </c>
      <c r="F8" s="11" t="n">
        <f aca="false">Assumptions!B10</f>
        <v>1</v>
      </c>
      <c r="G8" s="9" t="n">
        <f aca="false">D8*3600/E8*F8</f>
        <v>3085.71428571429</v>
      </c>
      <c r="H8" s="9" t="n">
        <f aca="false">SUM(Shops!Q$6:Q7)</f>
        <v>1050</v>
      </c>
      <c r="I8" s="9" t="n">
        <f aca="false">MAX(0,B8-C8)</f>
        <v>6000</v>
      </c>
      <c r="J8" s="10" t="n">
        <f aca="false">MAX(0,Shops!K8)</f>
        <v>12</v>
      </c>
      <c r="K8" s="10" t="n">
        <f aca="false">Shops!L8</f>
        <v>20</v>
      </c>
      <c r="L8" s="9" t="n">
        <f aca="false">Shops!P7</f>
        <v>30</v>
      </c>
      <c r="M8" s="9" t="n">
        <f aca="false">MAX(I8/(G8+H8),J8*E8/(3600*F8),IF(K8=0,0,K8/MAX(L8,0.000001)))</f>
        <v>1.45077720207254</v>
      </c>
      <c r="N8" s="10" t="n">
        <f aca="false">ROUNDUP(ROUND(M8*3600*F8/E8,9),0)</f>
        <v>75</v>
      </c>
      <c r="O8" s="9" t="n">
        <f aca="false">MAX(N8*E8/(3600*F8),IF(K8=0,0,K8/MAX(L8,0.000001)))</f>
        <v>1.45833333333333</v>
      </c>
      <c r="P8" s="9" t="n">
        <f aca="false">N8*D8</f>
        <v>4500</v>
      </c>
      <c r="Q8" s="9" t="n">
        <f aca="false">O8*H8</f>
        <v>1531.25</v>
      </c>
      <c r="R8" s="9" t="n">
        <f aca="false">C8+P8+Q8-B8</f>
        <v>31.25</v>
      </c>
      <c r="S8" s="9" t="n">
        <f aca="false">SUM(O$6:O8)</f>
        <v>1.94166666666667</v>
      </c>
    </row>
    <row r="9" customFormat="false" ht="48" hidden="false" customHeight="true" outlineLevel="0" collapsed="false">
      <c r="A9" s="5" t="s">
        <v>212</v>
      </c>
      <c r="B9" s="9" t="n">
        <f aca="false">Shops!C9</f>
        <v>40000</v>
      </c>
      <c r="C9" s="9" t="n">
        <f aca="false">R8</f>
        <v>31.25</v>
      </c>
      <c r="D9" s="9" t="n">
        <f aca="false">Shops!D8</f>
        <v>150</v>
      </c>
      <c r="E9" s="9" t="n">
        <f aca="false">Shops!O8</f>
        <v>110</v>
      </c>
      <c r="F9" s="11" t="n">
        <f aca="false">Assumptions!B10</f>
        <v>1</v>
      </c>
      <c r="G9" s="9" t="n">
        <f aca="false">D9*3600/E9*F9</f>
        <v>4909.09090909091</v>
      </c>
      <c r="H9" s="9" t="n">
        <f aca="false">SUM(Shops!Q$6:Q8)</f>
        <v>2610</v>
      </c>
      <c r="I9" s="9" t="n">
        <f aca="false">MAX(0,B9-C9)</f>
        <v>39968.75</v>
      </c>
      <c r="J9" s="10" t="n">
        <f aca="false">MAX(0,Shops!K9)</f>
        <v>15</v>
      </c>
      <c r="K9" s="10" t="n">
        <f aca="false">Shops!L9</f>
        <v>30</v>
      </c>
      <c r="L9" s="9" t="n">
        <f aca="false">Shops!P8</f>
        <v>24</v>
      </c>
      <c r="M9" s="9" t="n">
        <f aca="false">MAX(I9/(G9+H9),J9*E9/(3600*F9),IF(K9=0,0,K9/MAX(L9,0.000001)))</f>
        <v>5.31563595695805</v>
      </c>
      <c r="N9" s="10" t="n">
        <f aca="false">ROUNDUP(ROUND(M9*3600*F9/E9,9),0)</f>
        <v>174</v>
      </c>
      <c r="O9" s="9" t="n">
        <f aca="false">MAX(N9*E9/(3600*F9),IF(K9=0,0,K9/MAX(L9,0.000001)))</f>
        <v>5.31666666666667</v>
      </c>
      <c r="P9" s="9" t="n">
        <f aca="false">N9*D9</f>
        <v>26100</v>
      </c>
      <c r="Q9" s="9" t="n">
        <f aca="false">O9*H9</f>
        <v>13876.5</v>
      </c>
      <c r="R9" s="9" t="n">
        <f aca="false">C9+P9+Q9-B9</f>
        <v>7.75</v>
      </c>
      <c r="S9" s="9" t="n">
        <f aca="false">SUM(O$6:O9)</f>
        <v>7.25833333333333</v>
      </c>
    </row>
    <row r="10" customFormat="false" ht="48" hidden="false" customHeight="true" outlineLevel="0" collapsed="false">
      <c r="A10" s="5" t="s">
        <v>213</v>
      </c>
      <c r="B10" s="9" t="n">
        <f aca="false">Shops!C10</f>
        <v>180000</v>
      </c>
      <c r="C10" s="9" t="n">
        <f aca="false">R9</f>
        <v>7.75</v>
      </c>
      <c r="D10" s="9" t="n">
        <f aca="false">Shops!D9</f>
        <v>350</v>
      </c>
      <c r="E10" s="9" t="n">
        <f aca="false">Shops!O9</f>
        <v>140</v>
      </c>
      <c r="F10" s="11" t="n">
        <f aca="false">Assumptions!B10</f>
        <v>1</v>
      </c>
      <c r="G10" s="9" t="n">
        <f aca="false">D10*3600/E10*F10</f>
        <v>9000</v>
      </c>
      <c r="H10" s="9" t="n">
        <f aca="false">SUM(Shops!Q$6:Q9)</f>
        <v>6810</v>
      </c>
      <c r="I10" s="9" t="n">
        <f aca="false">MAX(0,B10-C10)</f>
        <v>179992.25</v>
      </c>
      <c r="J10" s="10" t="n">
        <f aca="false">MAX(0,Shops!K10)</f>
        <v>18</v>
      </c>
      <c r="K10" s="10" t="n">
        <f aca="false">Shops!L10</f>
        <v>40</v>
      </c>
      <c r="L10" s="9" t="n">
        <f aca="false">Shops!P9</f>
        <v>24</v>
      </c>
      <c r="M10" s="9" t="n">
        <f aca="false">MAX(I10/(G10+H10),J10*E10/(3600*F10),IF(K10=0,0,K10/MAX(L10,0.000001)))</f>
        <v>11.3847090449083</v>
      </c>
      <c r="N10" s="10" t="n">
        <f aca="false">ROUNDUP(ROUND(M10*3600*F10/E10,9),0)</f>
        <v>293</v>
      </c>
      <c r="O10" s="9" t="n">
        <f aca="false">MAX(N10*E10/(3600*F10),IF(K10=0,0,K10/MAX(L10,0.000001)))</f>
        <v>11.3944444444444</v>
      </c>
      <c r="P10" s="9" t="n">
        <f aca="false">N10*D10</f>
        <v>102550</v>
      </c>
      <c r="Q10" s="9" t="n">
        <f aca="false">O10*H10</f>
        <v>77596.1666666667</v>
      </c>
      <c r="R10" s="9" t="n">
        <f aca="false">C10+P10+Q10-B10</f>
        <v>153.916666666657</v>
      </c>
      <c r="S10" s="9" t="n">
        <f aca="false">SUM(O$6:O10)</f>
        <v>18.6527777777778</v>
      </c>
    </row>
  </sheetData>
  <mergeCells count="2">
    <mergeCell ref="A1:S1"/>
    <mergeCell ref="A2:S3"/>
  </mergeCell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.71"/>
    <col collapsed="false" customWidth="true" hidden="false" outlineLevel="0" max="2" min="2" style="0" width="20.71"/>
    <col collapsed="false" customWidth="true" hidden="false" outlineLevel="0" max="3" min="3" style="0" width="17.71"/>
    <col collapsed="false" customWidth="true" hidden="false" outlineLevel="0" max="4" min="4" style="0" width="18.71"/>
    <col collapsed="false" customWidth="true" hidden="false" outlineLevel="0" max="5" min="5" style="0" width="25.71"/>
    <col collapsed="false" customWidth="true" hidden="false" outlineLevel="0" max="6" min="6" style="0" width="17.71"/>
    <col collapsed="false" customWidth="true" hidden="false" outlineLevel="0" max="7" min="7" style="0" width="22.71"/>
    <col collapsed="false" customWidth="true" hidden="false" outlineLevel="0" max="8" min="8" style="0" width="18.71"/>
    <col collapsed="false" customWidth="true" hidden="false" outlineLevel="0" max="9" min="9" style="0" width="75.71"/>
  </cols>
  <sheetData>
    <row r="1" customFormat="false" ht="37.5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215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5" customFormat="false" ht="33.75" hidden="false" customHeight="true" outlineLevel="0" collapsed="false">
      <c r="A5" s="3" t="s">
        <v>216</v>
      </c>
      <c r="B5" s="3" t="s">
        <v>217</v>
      </c>
      <c r="C5" s="3" t="s">
        <v>218</v>
      </c>
      <c r="D5" s="3" t="s">
        <v>219</v>
      </c>
      <c r="E5" s="3" t="s">
        <v>220</v>
      </c>
      <c r="F5" s="3" t="s">
        <v>221</v>
      </c>
      <c r="G5" s="3" t="s">
        <v>222</v>
      </c>
      <c r="H5" s="3" t="s">
        <v>223</v>
      </c>
      <c r="I5" s="3" t="s">
        <v>224</v>
      </c>
    </row>
    <row r="6" customFormat="false" ht="57.75" hidden="false" customHeight="true" outlineLevel="0" collapsed="false">
      <c r="A6" s="5" t="s">
        <v>225</v>
      </c>
      <c r="B6" s="11" t="n">
        <f aca="false">1</f>
        <v>1</v>
      </c>
      <c r="C6" s="9" t="n">
        <f aca="false">Pacing!N6*Shops!O6/60</f>
        <v>5</v>
      </c>
      <c r="D6" s="10" t="n">
        <f aca="false">ROUNDUP(ROUND(MAX(MAX(0,Shops!C7-Pacing!R6)/(Shops!R6*B6+Shops!Q6),MAX(0,Shops!K7-Pacing!N6)*Shops!O6/(3600*B6),Shops!L7/Shops!P6)*3600*B6/Shops!O6,9),0)</f>
        <v>24</v>
      </c>
      <c r="E6" s="9" t="n">
        <f aca="false">D6*Shops!O6/(60*B6)</f>
        <v>24</v>
      </c>
      <c r="F6" s="9" t="n">
        <f aca="false">0</f>
        <v>0</v>
      </c>
      <c r="G6" s="9" t="n">
        <f aca="false">C6+E6+F6</f>
        <v>29</v>
      </c>
      <c r="H6" s="9" t="n">
        <f aca="false">Pacing!R6+D6*Shops!D6+(E6+F6)*Shops!Q6/60-Shops!C7</f>
        <v>0</v>
      </c>
      <c r="I6" s="5" t="s">
        <v>226</v>
      </c>
    </row>
    <row r="7" customFormat="false" ht="57.75" hidden="false" customHeight="true" outlineLevel="0" collapsed="false">
      <c r="A7" s="5" t="s">
        <v>227</v>
      </c>
      <c r="B7" s="11" t="n">
        <f aca="false">Assumptions!B16</f>
        <v>0.5</v>
      </c>
      <c r="C7" s="9" t="n">
        <f aca="false">Pacing!N6*Shops!O6/60</f>
        <v>5</v>
      </c>
      <c r="D7" s="10" t="n">
        <f aca="false">ROUNDUP(ROUND(MAX(MAX(0,Shops!C7-Pacing!R6)/(Shops!R6*B7+Shops!Q6),MAX(0,Shops!K7-Pacing!N6)*Shops!O6/(3600*B7),Shops!L7/Shops!P6)*3600*B7/Shops!O6,9),0)</f>
        <v>20</v>
      </c>
      <c r="E7" s="9" t="n">
        <f aca="false">D7*Shops!O6/(60*B7)</f>
        <v>40</v>
      </c>
      <c r="F7" s="9" t="n">
        <f aca="false">0</f>
        <v>0</v>
      </c>
      <c r="G7" s="9" t="n">
        <f aca="false">C7+E7+F7</f>
        <v>45</v>
      </c>
      <c r="H7" s="9" t="n">
        <f aca="false">Pacing!R6+D7*Shops!D6+(E7+F7)*Shops!Q6/60-Shops!C7</f>
        <v>0</v>
      </c>
      <c r="I7" s="5" t="s">
        <v>228</v>
      </c>
    </row>
    <row r="8" customFormat="false" ht="57.75" hidden="false" customHeight="true" outlineLevel="0" collapsed="false">
      <c r="A8" s="5" t="s">
        <v>229</v>
      </c>
      <c r="B8" s="11" t="n">
        <f aca="false">1</f>
        <v>1</v>
      </c>
      <c r="C8" s="9" t="n">
        <f aca="false">Pacing!N6*Shops!O6/60</f>
        <v>5</v>
      </c>
      <c r="D8" s="10" t="n">
        <f aca="false">MAX(0,Shops!K7-Pacing!N6)</f>
        <v>10</v>
      </c>
      <c r="E8" s="9" t="n">
        <f aca="false">D8*Shops!O6/60</f>
        <v>10</v>
      </c>
      <c r="F8" s="9" t="n">
        <f aca="false">MAX(0,(Shops!C7-Pacing!R6-D8*Shops!D6-E8*Shops!Q6/60)/(Shops!Q6/60),Shops!L7/Shops!P6*60-E8)</f>
        <v>70</v>
      </c>
      <c r="G8" s="9" t="n">
        <f aca="false">C8+E8+F8</f>
        <v>85</v>
      </c>
      <c r="H8" s="9" t="n">
        <f aca="false">Pacing!R6+D8*Shops!D6+(E8+F8)*Shops!Q6/60-Shops!C7</f>
        <v>0</v>
      </c>
      <c r="I8" s="5" t="s">
        <v>230</v>
      </c>
    </row>
  </sheetData>
  <mergeCells count="2">
    <mergeCell ref="A1:I1"/>
    <mergeCell ref="A2:I3"/>
  </mergeCell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.71"/>
    <col collapsed="false" customWidth="true" hidden="false" outlineLevel="0" max="2" min="2" style="0" width="23.71"/>
    <col collapsed="false" customWidth="true" hidden="false" outlineLevel="0" max="3" min="3" style="0" width="16.71"/>
    <col collapsed="false" customWidth="true" hidden="false" outlineLevel="0" max="4" min="4" style="0" width="18.71"/>
    <col collapsed="false" customWidth="true" hidden="false" outlineLevel="0" max="5" min="5" style="0" width="19.71"/>
    <col collapsed="false" customWidth="true" hidden="false" outlineLevel="0" max="6" min="6" style="0" width="17.71"/>
    <col collapsed="false" customWidth="true" hidden="false" outlineLevel="0" max="7" min="7" style="0" width="24.71"/>
    <col collapsed="false" customWidth="true" hidden="false" outlineLevel="0" max="8" min="8" style="0" width="20.71"/>
    <col collapsed="false" customWidth="true" hidden="false" outlineLevel="0" max="9" min="9" style="0" width="18.71"/>
    <col collapsed="false" customWidth="true" hidden="false" outlineLevel="0" max="10" min="10" style="0" width="24.71"/>
  </cols>
  <sheetData>
    <row r="1" customFormat="false" ht="37.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5" customFormat="false" ht="33.75" hidden="false" customHeight="true" outlineLevel="0" collapsed="false">
      <c r="A5" s="3" t="s">
        <v>78</v>
      </c>
      <c r="B5" s="3" t="s">
        <v>233</v>
      </c>
      <c r="C5" s="3" t="s">
        <v>234</v>
      </c>
      <c r="D5" s="3" t="s">
        <v>235</v>
      </c>
      <c r="E5" s="3" t="s">
        <v>91</v>
      </c>
      <c r="F5" s="3" t="s">
        <v>165</v>
      </c>
      <c r="G5" s="3" t="s">
        <v>236</v>
      </c>
      <c r="H5" s="3" t="s">
        <v>237</v>
      </c>
      <c r="I5" s="3" t="s">
        <v>238</v>
      </c>
      <c r="J5" s="3" t="s">
        <v>239</v>
      </c>
    </row>
    <row r="6" customFormat="false" ht="33.75" hidden="false" customHeight="true" outlineLevel="0" collapsed="false">
      <c r="A6" s="5" t="s">
        <v>96</v>
      </c>
      <c r="B6" s="8" t="n">
        <v>1</v>
      </c>
      <c r="C6" s="6" t="n">
        <v>8</v>
      </c>
      <c r="D6" s="9" t="n">
        <f aca="false">IF(B6=1,MIN(MAX(0,C6),Assumptions!B9),0)</f>
        <v>8</v>
      </c>
      <c r="E6" s="9" t="n">
        <f aca="false">Shops!P6</f>
        <v>30</v>
      </c>
      <c r="F6" s="9" t="n">
        <f aca="false">Shops!J6</f>
        <v>10</v>
      </c>
      <c r="G6" s="6" t="n">
        <v>0</v>
      </c>
      <c r="H6" s="10" t="n">
        <f aca="false">IF(B6=1,ROUNDDOWN(ROUND(D6*E6+G6,9),0),0)</f>
        <v>240</v>
      </c>
      <c r="I6" s="10" t="n">
        <f aca="false">H6*F6</f>
        <v>2400</v>
      </c>
      <c r="J6" s="9" t="n">
        <f aca="false">IF(B6=1,ROUND(D6*E6+G6-H6,9),G6)</f>
        <v>0</v>
      </c>
    </row>
    <row r="7" customFormat="false" ht="33.75" hidden="false" customHeight="true" outlineLevel="0" collapsed="false">
      <c r="A7" s="5" t="s">
        <v>100</v>
      </c>
      <c r="B7" s="8" t="n">
        <v>1</v>
      </c>
      <c r="C7" s="6" t="n">
        <v>8</v>
      </c>
      <c r="D7" s="9" t="n">
        <f aca="false">IF(B7=1,MIN(MAX(0,C7),Assumptions!B9),0)</f>
        <v>8</v>
      </c>
      <c r="E7" s="9" t="n">
        <f aca="false">Shops!P7</f>
        <v>30</v>
      </c>
      <c r="F7" s="9" t="n">
        <f aca="false">Shops!J7</f>
        <v>25</v>
      </c>
      <c r="G7" s="6" t="n">
        <v>0</v>
      </c>
      <c r="H7" s="10" t="n">
        <f aca="false">IF(B7=1,ROUNDDOWN(ROUND(D7*E7+G7,9),0),0)</f>
        <v>240</v>
      </c>
      <c r="I7" s="10" t="n">
        <f aca="false">H7*F7</f>
        <v>6000</v>
      </c>
      <c r="J7" s="9" t="n">
        <f aca="false">IF(B7=1,ROUND(D7*E7+G7-H7,9),G7)</f>
        <v>0</v>
      </c>
    </row>
    <row r="8" customFormat="false" ht="33.75" hidden="false" customHeight="true" outlineLevel="0" collapsed="false">
      <c r="A8" s="5" t="s">
        <v>103</v>
      </c>
      <c r="B8" s="8" t="n">
        <v>0</v>
      </c>
      <c r="C8" s="6" t="n">
        <v>8</v>
      </c>
      <c r="D8" s="9" t="n">
        <f aca="false">IF(B8=1,MIN(MAX(0,C8),Assumptions!B9),0)</f>
        <v>0</v>
      </c>
      <c r="E8" s="9" t="n">
        <f aca="false">Shops!P8</f>
        <v>24</v>
      </c>
      <c r="F8" s="9" t="n">
        <f aca="false">Shops!J8</f>
        <v>65</v>
      </c>
      <c r="G8" s="6" t="n">
        <v>0</v>
      </c>
      <c r="H8" s="10" t="n">
        <f aca="false">IF(B8=1,ROUNDDOWN(ROUND(D8*E8+G8,9),0),0)</f>
        <v>0</v>
      </c>
      <c r="I8" s="10" t="n">
        <f aca="false">H8*F8</f>
        <v>0</v>
      </c>
      <c r="J8" s="9" t="n">
        <f aca="false">IF(B8=1,ROUND(D8*E8+G8-H8,9),G8)</f>
        <v>0</v>
      </c>
    </row>
    <row r="9" customFormat="false" ht="33.75" hidden="false" customHeight="true" outlineLevel="0" collapsed="false">
      <c r="A9" s="5" t="s">
        <v>107</v>
      </c>
      <c r="B9" s="8" t="n">
        <v>0</v>
      </c>
      <c r="C9" s="6" t="n">
        <v>8</v>
      </c>
      <c r="D9" s="9" t="n">
        <f aca="false">IF(B9=1,MIN(MAX(0,C9),Assumptions!B9),0)</f>
        <v>0</v>
      </c>
      <c r="E9" s="9" t="n">
        <f aca="false">Shops!P9</f>
        <v>24</v>
      </c>
      <c r="F9" s="9" t="n">
        <f aca="false">Shops!J9</f>
        <v>175</v>
      </c>
      <c r="G9" s="6" t="n">
        <v>0</v>
      </c>
      <c r="H9" s="10" t="n">
        <f aca="false">IF(B9=1,ROUNDDOWN(ROUND(D9*E9+G9,9),0),0)</f>
        <v>0</v>
      </c>
      <c r="I9" s="10" t="n">
        <f aca="false">H9*F9</f>
        <v>0</v>
      </c>
      <c r="J9" s="9" t="n">
        <f aca="false">IF(B9=1,ROUND(D9*E9+G9-H9,9),G9)</f>
        <v>0</v>
      </c>
    </row>
    <row r="10" customFormat="false" ht="33.75" hidden="false" customHeight="true" outlineLevel="0" collapsed="false">
      <c r="A10" s="5" t="s">
        <v>110</v>
      </c>
      <c r="B10" s="8" t="n">
        <v>0</v>
      </c>
      <c r="C10" s="6" t="n">
        <v>8</v>
      </c>
      <c r="D10" s="9" t="n">
        <f aca="false">IF(B10=1,MIN(MAX(0,C10),Assumptions!B9),0)</f>
        <v>0</v>
      </c>
      <c r="E10" s="9" t="n">
        <f aca="false">Shops!P10</f>
        <v>20</v>
      </c>
      <c r="F10" s="9" t="n">
        <f aca="false">Shops!J10</f>
        <v>450</v>
      </c>
      <c r="G10" s="6" t="n">
        <v>0</v>
      </c>
      <c r="H10" s="10" t="n">
        <f aca="false">IF(B10=1,ROUNDDOWN(ROUND(D10*E10+G10,9),0),0)</f>
        <v>0</v>
      </c>
      <c r="I10" s="10" t="n">
        <f aca="false">H10*F10</f>
        <v>0</v>
      </c>
      <c r="J10" s="9" t="n">
        <f aca="false">IF(B10=1,ROUND(D10*E10+G10-H10,9),G10)</f>
        <v>0</v>
      </c>
    </row>
    <row r="12" customFormat="false" ht="15" hidden="false" customHeight="false" outlineLevel="0" collapsed="false">
      <c r="A12" s="5" t="s">
        <v>240</v>
      </c>
      <c r="I12" s="10" t="n">
        <f aca="false">SUM(I6:I10)</f>
        <v>8400</v>
      </c>
    </row>
    <row r="14" customFormat="false" ht="15" hidden="false" customHeight="true" outlineLevel="0" collapsed="false">
      <c r="A14" s="5" t="s">
        <v>241</v>
      </c>
      <c r="B14" s="5" t="s">
        <v>242</v>
      </c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</row>
  </sheetData>
  <mergeCells count="3">
    <mergeCell ref="A1:J1"/>
    <mergeCell ref="A2:J3"/>
    <mergeCell ref="B14:J15"/>
  </mergeCells>
  <dataValidations count="15">
    <dataValidation allowBlank="true" error="Enter a value between 0 and 1." errorStyle="stop" errorTitle="Check this value" operator="between" prompt="Change blue cells; green cells calculate." promptTitle="Tuning input" showDropDown="false" showErrorMessage="true" showInputMessage="true" sqref="B6" type="whole">
      <formula1>0</formula1>
      <formula2>1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6" type="decimal">
      <formula1>0</formula1>
      <formula2>100000</formula2>
    </dataValidation>
    <dataValidation allowBlank="true" error="Enter a value between 0 and 0.999999." errorStyle="stop" errorTitle="Check this value" operator="between" prompt="Change blue cells; green cells calculate." promptTitle="Tuning input" showDropDown="false" showErrorMessage="true" showInputMessage="true" sqref="G6" type="decimal">
      <formula1>0</formula1>
      <formula2>0.999999</formula2>
    </dataValidation>
    <dataValidation allowBlank="true" error="Enter a value between 0 and 1." errorStyle="stop" errorTitle="Check this value" operator="between" prompt="Change blue cells; green cells calculate." promptTitle="Tuning input" showDropDown="false" showErrorMessage="true" showInputMessage="true" sqref="B7" type="whole">
      <formula1>0</formula1>
      <formula2>1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7" type="decimal">
      <formula1>0</formula1>
      <formula2>100000</formula2>
    </dataValidation>
    <dataValidation allowBlank="true" error="Enter a value between 0 and 0.999999." errorStyle="stop" errorTitle="Check this value" operator="between" prompt="Change blue cells; green cells calculate." promptTitle="Tuning input" showDropDown="false" showErrorMessage="true" showInputMessage="true" sqref="G7" type="decimal">
      <formula1>0</formula1>
      <formula2>0.999999</formula2>
    </dataValidation>
    <dataValidation allowBlank="true" error="Enter a value between 0 and 1." errorStyle="stop" errorTitle="Check this value" operator="between" prompt="Change blue cells; green cells calculate." promptTitle="Tuning input" showDropDown="false" showErrorMessage="true" showInputMessage="true" sqref="B8" type="whole">
      <formula1>0</formula1>
      <formula2>1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8" type="decimal">
      <formula1>0</formula1>
      <formula2>100000</formula2>
    </dataValidation>
    <dataValidation allowBlank="true" error="Enter a value between 0 and 0.999999." errorStyle="stop" errorTitle="Check this value" operator="between" prompt="Change blue cells; green cells calculate." promptTitle="Tuning input" showDropDown="false" showErrorMessage="true" showInputMessage="true" sqref="G8" type="decimal">
      <formula1>0</formula1>
      <formula2>0.999999</formula2>
    </dataValidation>
    <dataValidation allowBlank="true" error="Enter a value between 0 and 1." errorStyle="stop" errorTitle="Check this value" operator="between" prompt="Change blue cells; green cells calculate." promptTitle="Tuning input" showDropDown="false" showErrorMessage="true" showInputMessage="true" sqref="B9" type="whole">
      <formula1>0</formula1>
      <formula2>1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9" type="decimal">
      <formula1>0</formula1>
      <formula2>100000</formula2>
    </dataValidation>
    <dataValidation allowBlank="true" error="Enter a value between 0 and 0.999999." errorStyle="stop" errorTitle="Check this value" operator="between" prompt="Change blue cells; green cells calculate." promptTitle="Tuning input" showDropDown="false" showErrorMessage="true" showInputMessage="true" sqref="G9" type="decimal">
      <formula1>0</formula1>
      <formula2>0.999999</formula2>
    </dataValidation>
    <dataValidation allowBlank="true" error="Enter a value between 0 and 1." errorStyle="stop" errorTitle="Check this value" operator="between" prompt="Change blue cells; green cells calculate." promptTitle="Tuning input" showDropDown="false" showErrorMessage="true" showInputMessage="true" sqref="B10" type="whole">
      <formula1>0</formula1>
      <formula2>1</formula2>
    </dataValidation>
    <dataValidation allowBlank="true" error="Enter a value between 0 and 100000." errorStyle="stop" errorTitle="Check this value" operator="between" prompt="Change blue cells; green cells calculate." promptTitle="Tuning input" showDropDown="false" showErrorMessage="true" showInputMessage="true" sqref="C10" type="decimal">
      <formula1>0</formula1>
      <formula2>100000</formula2>
    </dataValidation>
    <dataValidation allowBlank="true" error="Enter a value between 0 and 0.999999." errorStyle="stop" errorTitle="Check this value" operator="between" prompt="Change blue cells; green cells calculate." promptTitle="Tuning input" showDropDown="false" showErrorMessage="true" showInputMessage="true" sqref="G10" type="decimal">
      <formula1>0</formula1>
      <formula2>0.999999</formula2>
    </dataValidation>
  </dataValidation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2.71"/>
    <col collapsed="false" customWidth="true" hidden="false" outlineLevel="0" max="2" min="2" style="0" width="57.71"/>
    <col collapsed="false" customWidth="true" hidden="false" outlineLevel="0" max="4" min="3" style="0" width="17.71"/>
    <col collapsed="false" customWidth="true" hidden="false" outlineLevel="0" max="5" min="5" style="0" width="76.71"/>
  </cols>
  <sheetData>
    <row r="1" customFormat="false" ht="37.5" hidden="false" customHeight="true" outlineLevel="0" collapsed="false">
      <c r="A1" s="1" t="s">
        <v>243</v>
      </c>
      <c r="B1" s="1"/>
      <c r="C1" s="1"/>
      <c r="D1" s="1"/>
      <c r="E1" s="1"/>
    </row>
    <row r="2" customFormat="false" ht="24" hidden="false" customHeight="true" outlineLevel="0" collapsed="false">
      <c r="A2" s="2" t="s">
        <v>244</v>
      </c>
      <c r="B2" s="2"/>
      <c r="C2" s="2"/>
      <c r="D2" s="2"/>
      <c r="E2" s="2"/>
    </row>
    <row r="3" customFormat="false" ht="21.75" hidden="false" customHeight="true" outlineLevel="0" collapsed="false">
      <c r="A3" s="2"/>
      <c r="B3" s="2"/>
      <c r="C3" s="2"/>
      <c r="D3" s="2"/>
      <c r="E3" s="2"/>
    </row>
    <row r="5" customFormat="false" ht="33.75" hidden="false" customHeight="true" outlineLevel="0" collapsed="false">
      <c r="A5" s="3" t="s">
        <v>245</v>
      </c>
      <c r="B5" s="3" t="s">
        <v>246</v>
      </c>
      <c r="C5" s="3" t="s">
        <v>247</v>
      </c>
      <c r="D5" s="3" t="s">
        <v>248</v>
      </c>
      <c r="E5" s="3" t="s">
        <v>249</v>
      </c>
    </row>
    <row r="6" customFormat="false" ht="42.75" hidden="false" customHeight="true" outlineLevel="0" collapsed="false">
      <c r="A6" s="5" t="s">
        <v>250</v>
      </c>
      <c r="B6" s="5" t="s">
        <v>125</v>
      </c>
      <c r="C6" s="10" t="n">
        <f aca="false">Items!C7</f>
        <v>100</v>
      </c>
      <c r="D6" s="5" t="n">
        <v>0</v>
      </c>
      <c r="E6" s="5" t="s">
        <v>251</v>
      </c>
    </row>
    <row r="7" customFormat="false" ht="42.75" hidden="false" customHeight="true" outlineLevel="0" collapsed="false">
      <c r="A7" s="5" t="s">
        <v>128</v>
      </c>
      <c r="B7" s="5" t="s">
        <v>129</v>
      </c>
      <c r="C7" s="10" t="n">
        <f aca="false">Items!C8</f>
        <v>80</v>
      </c>
      <c r="D7" s="5" t="n">
        <v>0</v>
      </c>
      <c r="E7" s="5" t="s">
        <v>252</v>
      </c>
    </row>
    <row r="8" customFormat="false" ht="42.75" hidden="false" customHeight="true" outlineLevel="0" collapsed="false">
      <c r="A8" s="5" t="s">
        <v>253</v>
      </c>
      <c r="B8" s="5" t="s">
        <v>254</v>
      </c>
      <c r="C8" s="10" t="n">
        <f aca="false">Upgrades!B6</f>
        <v>120</v>
      </c>
      <c r="D8" s="10" t="n">
        <f aca="false">Upgrades!C6</f>
        <v>0</v>
      </c>
      <c r="E8" s="5" t="s">
        <v>255</v>
      </c>
    </row>
    <row r="9" customFormat="false" ht="42.75" hidden="false" customHeight="true" outlineLevel="0" collapsed="false">
      <c r="A9" s="5" t="s">
        <v>256</v>
      </c>
      <c r="B9" s="5" t="s">
        <v>254</v>
      </c>
      <c r="C9" s="10" t="n">
        <f aca="false">Upgrades!B7</f>
        <v>100</v>
      </c>
      <c r="D9" s="10" t="n">
        <f aca="false">Upgrades!C7</f>
        <v>0</v>
      </c>
      <c r="E9" s="5" t="s">
        <v>257</v>
      </c>
    </row>
    <row r="10" customFormat="false" ht="42.75" hidden="false" customHeight="true" outlineLevel="0" collapsed="false">
      <c r="A10" s="5" t="s">
        <v>258</v>
      </c>
      <c r="B10" s="5" t="s">
        <v>259</v>
      </c>
      <c r="C10" s="5" t="s">
        <v>133</v>
      </c>
      <c r="D10" s="5" t="n">
        <v>0</v>
      </c>
      <c r="E10" s="5" t="s">
        <v>260</v>
      </c>
    </row>
    <row r="11" customFormat="false" ht="42.75" hidden="false" customHeight="true" outlineLevel="0" collapsed="false">
      <c r="A11" s="5" t="s">
        <v>261</v>
      </c>
      <c r="B11" s="5" t="s">
        <v>262</v>
      </c>
      <c r="C11" s="10" t="n">
        <f aca="false">Upgrades!B9</f>
        <v>900</v>
      </c>
      <c r="D11" s="10" t="n">
        <f aca="false">Upgrades!C9</f>
        <v>6</v>
      </c>
      <c r="E11" s="5" t="s">
        <v>263</v>
      </c>
    </row>
    <row r="12" customFormat="false" ht="42.75" hidden="false" customHeight="true" outlineLevel="0" collapsed="false">
      <c r="A12" s="5" t="s">
        <v>264</v>
      </c>
      <c r="B12" s="5" t="s">
        <v>262</v>
      </c>
      <c r="C12" s="10" t="n">
        <f aca="false">Upgrades!B10</f>
        <v>600</v>
      </c>
      <c r="D12" s="10" t="n">
        <f aca="false">Upgrades!C10</f>
        <v>4</v>
      </c>
      <c r="E12" s="5" t="s">
        <v>265</v>
      </c>
    </row>
    <row r="13" customFormat="false" ht="42.75" hidden="false" customHeight="true" outlineLevel="0" collapsed="false">
      <c r="A13" s="5" t="s">
        <v>266</v>
      </c>
      <c r="B13" s="5" t="s">
        <v>262</v>
      </c>
      <c r="C13" s="10" t="n">
        <f aca="false">Upgrades!B11</f>
        <v>750</v>
      </c>
      <c r="D13" s="10" t="n">
        <f aca="false">Upgrades!C11</f>
        <v>0</v>
      </c>
      <c r="E13" s="5" t="s">
        <v>267</v>
      </c>
    </row>
    <row r="14" customFormat="false" ht="42.75" hidden="false" customHeight="true" outlineLevel="0" collapsed="false">
      <c r="A14" s="5" t="s">
        <v>268</v>
      </c>
      <c r="B14" s="5" t="s">
        <v>269</v>
      </c>
      <c r="C14" s="5" t="s">
        <v>270</v>
      </c>
      <c r="D14" s="10" t="n">
        <f aca="false">Assumptions!B13</f>
        <v>1</v>
      </c>
      <c r="E14" s="5" t="s">
        <v>271</v>
      </c>
    </row>
    <row r="15" customFormat="false" ht="42.75" hidden="false" customHeight="true" outlineLevel="0" collapsed="false">
      <c r="A15" s="5" t="s">
        <v>272</v>
      </c>
      <c r="B15" s="5" t="s">
        <v>273</v>
      </c>
      <c r="C15" s="5" t="s">
        <v>270</v>
      </c>
      <c r="D15" s="5" t="n">
        <v>0</v>
      </c>
      <c r="E15" s="5" t="s">
        <v>274</v>
      </c>
    </row>
    <row r="16" customFormat="false" ht="42.75" hidden="false" customHeight="true" outlineLevel="0" collapsed="false">
      <c r="A16" s="5" t="s">
        <v>275</v>
      </c>
      <c r="B16" s="5" t="s">
        <v>276</v>
      </c>
      <c r="C16" s="5" t="s">
        <v>133</v>
      </c>
      <c r="D16" s="5" t="n">
        <v>0</v>
      </c>
      <c r="E16" s="5" t="s">
        <v>277</v>
      </c>
    </row>
    <row r="19" customFormat="false" ht="15" hidden="false" customHeight="false" outlineLevel="0" collapsed="false">
      <c r="A19" s="3" t="s">
        <v>278</v>
      </c>
      <c r="B19" s="3" t="s">
        <v>279</v>
      </c>
      <c r="C19" s="3" t="s">
        <v>280</v>
      </c>
      <c r="D19" s="3" t="s">
        <v>281</v>
      </c>
      <c r="E19" s="3" t="s">
        <v>282</v>
      </c>
    </row>
    <row r="20" customFormat="false" ht="15" hidden="false" customHeight="false" outlineLevel="0" collapsed="false">
      <c r="A20" s="5" t="s">
        <v>283</v>
      </c>
      <c r="B20" s="8" t="n">
        <v>6</v>
      </c>
      <c r="C20" s="10" t="n">
        <f aca="false">B20*Assumptions!B13</f>
        <v>6</v>
      </c>
      <c r="D20" s="10" t="n">
        <f aca="false">Upgrades!C9</f>
        <v>6</v>
      </c>
      <c r="E20" s="10" t="n">
        <f aca="false">C20-D20</f>
        <v>0</v>
      </c>
    </row>
    <row r="21" customFormat="false" ht="15" hidden="false" customHeight="false" outlineLevel="0" collapsed="false">
      <c r="A21" s="5" t="s">
        <v>284</v>
      </c>
      <c r="B21" s="8" t="n">
        <v>4</v>
      </c>
      <c r="C21" s="10" t="n">
        <f aca="false">B21*Assumptions!B13</f>
        <v>4</v>
      </c>
      <c r="D21" s="10" t="n">
        <f aca="false">Upgrades!C10</f>
        <v>4</v>
      </c>
      <c r="E21" s="10" t="n">
        <f aca="false">E20+C21-D21</f>
        <v>0</v>
      </c>
    </row>
  </sheetData>
  <mergeCells count="2">
    <mergeCell ref="A1:E1"/>
    <mergeCell ref="A2:E3"/>
  </mergeCells>
  <conditionalFormatting sqref="E20:E21">
    <cfRule type="cellIs" priority="2" operator="lessThan" aboveAverage="0" equalAverage="0" bottom="0" percent="0" rank="0" text="" dxfId="6">
      <formula>0</formula>
    </cfRule>
  </conditionalFormatting>
  <dataValidations count="1">
    <dataValidation allowBlank="true" error="Enter a value between 0 and 10000." errorStyle="stop" errorTitle="Check this value" operator="between" prompt="Change blue cells; green cells calculate." promptTitle="Tuning input" showDropDown="false" showErrorMessage="true" showInputMessage="true" sqref="B20:B21" type="whole">
      <formula1>0</formula1>
      <formula2>10000</formula2>
    </dataValidation>
  </dataValidation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.71"/>
    <col collapsed="false" customWidth="true" hidden="false" outlineLevel="0" max="2" min="2" style="0" width="56.71"/>
    <col collapsed="false" customWidth="true" hidden="false" outlineLevel="0" max="3" min="3" style="0" width="43.71"/>
    <col collapsed="false" customWidth="true" hidden="false" outlineLevel="0" max="4" min="4" style="0" width="89.71"/>
  </cols>
  <sheetData>
    <row r="1" customFormat="false" ht="37.5" hidden="false" customHeight="true" outlineLevel="0" collapsed="false">
      <c r="A1" s="1" t="s">
        <v>285</v>
      </c>
      <c r="B1" s="1"/>
      <c r="C1" s="1"/>
      <c r="D1" s="1"/>
    </row>
    <row r="2" customFormat="false" ht="24" hidden="false" customHeight="true" outlineLevel="0" collapsed="false">
      <c r="A2" s="2" t="s">
        <v>286</v>
      </c>
      <c r="B2" s="2"/>
      <c r="C2" s="2"/>
      <c r="D2" s="2"/>
    </row>
    <row r="3" customFormat="false" ht="21.75" hidden="false" customHeight="true" outlineLevel="0" collapsed="false">
      <c r="A3" s="2"/>
      <c r="B3" s="2"/>
      <c r="C3" s="2"/>
      <c r="D3" s="2"/>
    </row>
    <row r="5" customFormat="false" ht="33.75" hidden="false" customHeight="true" outlineLevel="0" collapsed="false">
      <c r="A5" s="3" t="s">
        <v>287</v>
      </c>
      <c r="B5" s="3" t="s">
        <v>288</v>
      </c>
      <c r="C5" s="3" t="s">
        <v>289</v>
      </c>
      <c r="D5" s="3" t="s">
        <v>290</v>
      </c>
    </row>
    <row r="6" customFormat="false" ht="61.5" hidden="false" customHeight="true" outlineLevel="0" collapsed="false">
      <c r="A6" s="5" t="s">
        <v>291</v>
      </c>
      <c r="B6" s="5" t="s">
        <v>292</v>
      </c>
      <c r="C6" s="5" t="s">
        <v>293</v>
      </c>
      <c r="D6" s="5" t="s">
        <v>294</v>
      </c>
    </row>
    <row r="7" customFormat="false" ht="61.5" hidden="false" customHeight="true" outlineLevel="0" collapsed="false">
      <c r="A7" s="5" t="s">
        <v>295</v>
      </c>
      <c r="B7" s="5" t="s">
        <v>296</v>
      </c>
      <c r="C7" s="5" t="s">
        <v>209</v>
      </c>
      <c r="D7" s="5" t="s">
        <v>297</v>
      </c>
    </row>
    <row r="8" customFormat="false" ht="61.5" hidden="false" customHeight="true" outlineLevel="0" collapsed="false">
      <c r="A8" s="5" t="s">
        <v>298</v>
      </c>
      <c r="B8" s="5" t="s">
        <v>299</v>
      </c>
      <c r="C8" s="5" t="s">
        <v>300</v>
      </c>
      <c r="D8" s="5" t="s">
        <v>301</v>
      </c>
    </row>
    <row r="9" customFormat="false" ht="61.5" hidden="false" customHeight="true" outlineLevel="0" collapsed="false">
      <c r="A9" s="5" t="s">
        <v>302</v>
      </c>
      <c r="B9" s="5" t="s">
        <v>303</v>
      </c>
      <c r="C9" s="5" t="s">
        <v>304</v>
      </c>
      <c r="D9" s="5" t="s">
        <v>305</v>
      </c>
    </row>
    <row r="10" customFormat="false" ht="61.5" hidden="false" customHeight="true" outlineLevel="0" collapsed="false">
      <c r="A10" s="5" t="s">
        <v>306</v>
      </c>
      <c r="B10" s="5" t="s">
        <v>307</v>
      </c>
      <c r="C10" s="5" t="s">
        <v>308</v>
      </c>
      <c r="D10" s="5" t="s">
        <v>309</v>
      </c>
    </row>
    <row r="11" customFormat="false" ht="61.5" hidden="false" customHeight="true" outlineLevel="0" collapsed="false">
      <c r="A11" s="5" t="s">
        <v>310</v>
      </c>
      <c r="B11" s="5" t="s">
        <v>311</v>
      </c>
      <c r="C11" s="5" t="s">
        <v>312</v>
      </c>
      <c r="D11" s="5" t="s">
        <v>313</v>
      </c>
    </row>
    <row r="12" customFormat="false" ht="61.5" hidden="false" customHeight="true" outlineLevel="0" collapsed="false">
      <c r="A12" s="5" t="s">
        <v>314</v>
      </c>
      <c r="B12" s="5" t="s">
        <v>315</v>
      </c>
      <c r="C12" s="5" t="s">
        <v>316</v>
      </c>
      <c r="D12" s="5" t="s">
        <v>317</v>
      </c>
    </row>
    <row r="13" customFormat="false" ht="61.5" hidden="false" customHeight="true" outlineLevel="0" collapsed="false">
      <c r="A13" s="5" t="s">
        <v>318</v>
      </c>
      <c r="B13" s="5" t="s">
        <v>319</v>
      </c>
      <c r="C13" s="5" t="s">
        <v>320</v>
      </c>
      <c r="D13" s="5" t="s">
        <v>321</v>
      </c>
    </row>
    <row r="14" customFormat="false" ht="61.5" hidden="false" customHeight="true" outlineLevel="0" collapsed="false">
      <c r="A14" s="5" t="s">
        <v>322</v>
      </c>
      <c r="B14" s="5" t="s">
        <v>323</v>
      </c>
      <c r="C14" s="5" t="s">
        <v>324</v>
      </c>
      <c r="D14" s="5" t="s">
        <v>325</v>
      </c>
    </row>
    <row r="15" customFormat="false" ht="61.5" hidden="false" customHeight="true" outlineLevel="0" collapsed="false">
      <c r="A15" s="5" t="s">
        <v>326</v>
      </c>
      <c r="B15" s="5" t="s">
        <v>327</v>
      </c>
      <c r="C15" s="5" t="s">
        <v>328</v>
      </c>
      <c r="D15" s="5" t="s">
        <v>329</v>
      </c>
    </row>
  </sheetData>
  <mergeCells count="2">
    <mergeCell ref="A1:D1"/>
    <mergeCell ref="A2:D3"/>
  </mergeCells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7E78"/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4.71"/>
    <col collapsed="false" customWidth="true" hidden="false" outlineLevel="0" max="2" min="2" style="0" width="25.71"/>
    <col collapsed="false" customWidth="true" hidden="false" outlineLevel="0" max="3" min="3" style="0" width="50.71"/>
    <col collapsed="false" customWidth="true" hidden="false" outlineLevel="0" max="4" min="4" style="0" width="20.71"/>
  </cols>
  <sheetData>
    <row r="1" customFormat="false" ht="37.5" hidden="false" customHeight="true" outlineLevel="0" collapsed="false">
      <c r="A1" s="1" t="s">
        <v>330</v>
      </c>
      <c r="B1" s="1"/>
      <c r="C1" s="1"/>
      <c r="D1" s="1"/>
    </row>
    <row r="2" customFormat="false" ht="24" hidden="false" customHeight="true" outlineLevel="0" collapsed="false">
      <c r="A2" s="2" t="s">
        <v>331</v>
      </c>
      <c r="B2" s="2"/>
      <c r="C2" s="2"/>
      <c r="D2" s="2"/>
    </row>
    <row r="3" customFormat="false" ht="21.75" hidden="false" customHeight="true" outlineLevel="0" collapsed="false">
      <c r="A3" s="2"/>
      <c r="B3" s="2"/>
      <c r="C3" s="2"/>
      <c r="D3" s="2"/>
    </row>
    <row r="5" customFormat="false" ht="33.75" hidden="false" customHeight="true" outlineLevel="0" collapsed="false">
      <c r="A5" s="3" t="s">
        <v>332</v>
      </c>
      <c r="B5" s="3" t="s">
        <v>333</v>
      </c>
      <c r="C5" s="3" t="s">
        <v>334</v>
      </c>
      <c r="D5" s="3" t="s">
        <v>335</v>
      </c>
    </row>
    <row r="6" customFormat="false" ht="33.75" hidden="false" customHeight="true" outlineLevel="0" collapsed="false">
      <c r="A6" s="5" t="s">
        <v>336</v>
      </c>
      <c r="B6" s="9" t="n">
        <f aca="false">Shops!C6</f>
        <v>0</v>
      </c>
      <c r="C6" s="5" t="n">
        <f aca="false">0</f>
        <v>0</v>
      </c>
      <c r="D6" s="12" t="str">
        <f aca="false">IF(B6=0,"PASS","REVIEW")</f>
        <v>PASS</v>
      </c>
    </row>
    <row r="7" customFormat="false" ht="33.75" hidden="false" customHeight="true" outlineLevel="0" collapsed="false">
      <c r="A7" s="5" t="s">
        <v>337</v>
      </c>
      <c r="B7" s="9" t="n">
        <f aca="false">Pacing!R6</f>
        <v>0</v>
      </c>
      <c r="C7" s="5" t="s">
        <v>338</v>
      </c>
      <c r="D7" s="12" t="str">
        <f aca="false">IF(B7&gt;=0,"PASS","REVIEW")</f>
        <v>PASS</v>
      </c>
    </row>
    <row r="8" customFormat="false" ht="33.75" hidden="false" customHeight="true" outlineLevel="0" collapsed="false">
      <c r="A8" s="5" t="s">
        <v>339</v>
      </c>
      <c r="B8" s="9" t="n">
        <f aca="false">Pacing!R7</f>
        <v>0</v>
      </c>
      <c r="C8" s="5" t="s">
        <v>338</v>
      </c>
      <c r="D8" s="12" t="str">
        <f aca="false">IF(B8&gt;=0,"PASS","REVIEW")</f>
        <v>PASS</v>
      </c>
    </row>
    <row r="9" customFormat="false" ht="33.75" hidden="false" customHeight="true" outlineLevel="0" collapsed="false">
      <c r="A9" s="5" t="s">
        <v>340</v>
      </c>
      <c r="B9" s="9" t="n">
        <f aca="false">Upgrades!O8</f>
        <v>0</v>
      </c>
      <c r="C9" s="5" t="n">
        <f aca="false">0</f>
        <v>0</v>
      </c>
      <c r="D9" s="12" t="str">
        <f aca="false">IF(B9=0,"PASS","REVIEW")</f>
        <v>PASS</v>
      </c>
    </row>
    <row r="10" customFormat="false" ht="33.75" hidden="false" customHeight="true" outlineLevel="0" collapsed="false">
      <c r="A10" s="5" t="s">
        <v>341</v>
      </c>
      <c r="B10" s="9" t="n">
        <f aca="false">MIN(Pacing!R6:R10)</f>
        <v>0</v>
      </c>
      <c r="C10" s="5" t="s">
        <v>338</v>
      </c>
      <c r="D10" s="12" t="str">
        <f aca="false">IF(B10&gt;=0,"PASS","REVIEW")</f>
        <v>PASS</v>
      </c>
    </row>
    <row r="11" customFormat="false" ht="33.75" hidden="false" customHeight="true" outlineLevel="0" collapsed="false">
      <c r="A11" s="5" t="s">
        <v>342</v>
      </c>
      <c r="B11" s="9" t="n">
        <f aca="false">IF(AND(MIN(Offline!J6:J10)&gt;=0,MAX(Offline!J6:J10)&lt;1),1,0)</f>
        <v>1</v>
      </c>
      <c r="C11" s="5" t="n">
        <f aca="false">1</f>
        <v>0</v>
      </c>
      <c r="D11" s="12" t="str">
        <f aca="false">IF(B11=1,"PASS","REVIEW")</f>
        <v>PASS</v>
      </c>
    </row>
    <row r="12" customFormat="false" ht="33.75" hidden="false" customHeight="true" outlineLevel="0" collapsed="false">
      <c r="A12" s="5" t="s">
        <v>343</v>
      </c>
      <c r="B12" s="9" t="n">
        <f aca="false">IF('Starter Routes'!F8&lt;=Assumptions!B9*60,1,0)</f>
        <v>1</v>
      </c>
      <c r="C12" s="5" t="n">
        <f aca="false">1</f>
        <v>0</v>
      </c>
      <c r="D12" s="12" t="str">
        <f aca="false">IF(B12=1,"PASS","REVIEW")</f>
        <v>PASS</v>
      </c>
    </row>
    <row r="13" customFormat="false" ht="33.75" hidden="false" customHeight="true" outlineLevel="0" collapsed="false">
      <c r="A13" s="5" t="s">
        <v>344</v>
      </c>
      <c r="B13" s="9" t="n">
        <f aca="false">MIN('Blueprints &amp; Parts'!E20:E21)</f>
        <v>0</v>
      </c>
      <c r="C13" s="5" t="s">
        <v>338</v>
      </c>
      <c r="D13" s="12" t="str">
        <f aca="false">IF(B13&gt;=0,"PASS","REVIEW")</f>
        <v>PASS</v>
      </c>
    </row>
    <row r="14" customFormat="false" ht="33.75" hidden="false" customHeight="true" outlineLevel="0" collapsed="false">
      <c r="A14" s="5" t="s">
        <v>345</v>
      </c>
      <c r="B14" s="9" t="n">
        <f aca="false">Pacing!N6-Assumptions!B8</f>
        <v>2</v>
      </c>
      <c r="C14" s="5" t="s">
        <v>338</v>
      </c>
      <c r="D14" s="12" t="str">
        <f aca="false">IF(B14&gt;=0,"PASS","REVIEW")</f>
        <v>PASS</v>
      </c>
    </row>
    <row r="15" customFormat="false" ht="33.75" hidden="false" customHeight="true" outlineLevel="0" collapsed="false">
      <c r="A15" s="5" t="s">
        <v>346</v>
      </c>
      <c r="B15" s="9" t="n">
        <f aca="false">Pacing!N6+Pacing!N7-Shops!K7</f>
        <v>14</v>
      </c>
      <c r="C15" s="5" t="s">
        <v>338</v>
      </c>
      <c r="D15" s="12" t="str">
        <f aca="false">IF(B15&gt;=0,"PASS","REVIEW")</f>
        <v>PASS</v>
      </c>
    </row>
    <row r="18" customFormat="false" ht="15" hidden="false" customHeight="false" outlineLevel="0" collapsed="false">
      <c r="A18" s="5" t="s">
        <v>347</v>
      </c>
    </row>
    <row r="19" customFormat="false" ht="43.5" hidden="false" customHeight="true" outlineLevel="0" collapsed="false">
      <c r="A19" s="5" t="s">
        <v>348</v>
      </c>
      <c r="B19" s="5" t="n">
        <v>5</v>
      </c>
      <c r="C19" s="5" t="s">
        <v>349</v>
      </c>
      <c r="D19" s="5" t="s">
        <v>350</v>
      </c>
    </row>
    <row r="20" customFormat="false" ht="43.5" hidden="false" customHeight="true" outlineLevel="0" collapsed="false">
      <c r="A20" s="5" t="s">
        <v>351</v>
      </c>
      <c r="B20" s="5" t="n">
        <v>29</v>
      </c>
      <c r="C20" s="5" t="s">
        <v>352</v>
      </c>
      <c r="D20" s="5" t="s">
        <v>350</v>
      </c>
    </row>
    <row r="21" customFormat="false" ht="43.5" hidden="false" customHeight="true" outlineLevel="0" collapsed="false">
      <c r="A21" s="5" t="s">
        <v>353</v>
      </c>
      <c r="B21" s="5" t="s">
        <v>354</v>
      </c>
      <c r="C21" s="5" t="s">
        <v>355</v>
      </c>
      <c r="D21" s="5" t="s">
        <v>356</v>
      </c>
    </row>
    <row r="22" customFormat="false" ht="43.5" hidden="false" customHeight="true" outlineLevel="0" collapsed="false">
      <c r="A22" s="5" t="s">
        <v>357</v>
      </c>
      <c r="B22" s="5" t="s">
        <v>358</v>
      </c>
      <c r="C22" s="5" t="s">
        <v>359</v>
      </c>
      <c r="D22" s="5" t="s">
        <v>360</v>
      </c>
    </row>
  </sheetData>
  <mergeCells count="2">
    <mergeCell ref="A1:D1"/>
    <mergeCell ref="A2:D3"/>
  </mergeCells>
  <conditionalFormatting sqref="D6:D15">
    <cfRule type="containsText" priority="2" operator="containsText" aboveAverage="0" equalAverage="0" bottom="0" percent="0" rank="0" text="PASS" dxfId="7">
      <formula>NOT(ISERROR(SEARCH("PASS",D6)))</formula>
    </cfRule>
    <cfRule type="containsText" priority="3" operator="containsText" aboveAverage="0" equalAverage="0" bottom="0" percent="0" rank="0" text="REVIEW" dxfId="6">
      <formula>NOT(ISERROR(SEARCH("REVIEW",D6)))</formula>
    </cfRule>
  </conditionalFormatting>
  <printOptions headings="false" gridLines="false" gridLinesSet="true" horizontalCentered="false" verticalCentered="false"/>
  <pageMargins left="0.3" right="0.3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&amp;LCarpet Cleaner • proposed tuning&amp;RPage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2026-09-11T23:40:36Z</dcterms:created>
  <dc:creator>Carpet Cleaner design</dc:creator>
  <dc:description>Proposed tuning. First two shops only are the playable slice.</dc:description>
  <dc:language>en-IN</dc:language>
  <cp:lastModifiedBy/>
  <dcterms:modified xsi:type="dcterms:W3CDTF">2026-09-12T12:55:19Z</dcterms:modified>
  <cp:revision>1</cp:revision>
  <dc:subject>Brush-first metagame balance</dc:subject>
  <dc:title>Carpet Cleaner — economy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